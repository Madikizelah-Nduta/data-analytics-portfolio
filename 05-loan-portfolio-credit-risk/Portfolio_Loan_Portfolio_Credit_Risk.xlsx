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Assumptions" sheetId="3" state="visible" r:id="rId5"/>
    <sheet name="Loans" sheetId="4" state="visible" r:id="rId6"/>
  </sheets>
  <definedNames>
    <definedName function="false" hidden="true" localSheetId="3" name="_xlnm._FilterDatabase" vbProcedure="false">Loans!$A$1:$N$401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<sst xmlns="http://schemas.openxmlformats.org/spreadsheetml/2006/main" count="1315" uniqueCount="486">
  <si>
    <t xml:space="preserve">Loan Portfolio &amp; Credit Risk (SACCO / Microfinance)</t>
  </si>
  <si>
    <t xml:space="preserve">Business scenario</t>
  </si>
  <si>
    <t xml:space="preserve">A Kenyan SACCO wants to know how healthy its loan book is: how much is in arrears, which branches and products are driving risk, and whether provisions are adequate. This workbook turns a loan ledger into PAR30/PAR90, ageing buckets and a provisioning estimate.</t>
  </si>
  <si>
    <t xml:space="preserve">Sheets</t>
  </si>
  <si>
    <t xml:space="preserve">Assumptions: PAR thresholds, target PAR30 and the provision rate per ageing bucket.</t>
  </si>
  <si>
    <t xml:space="preserve">Loans: 400 synthetic loans (inputs) plus formula columns for bucket, provision, PAR30 and PAR90 balances.</t>
  </si>
  <si>
    <t xml:space="preserve">Dashboard: portfolio KPIs, formula-driven insights, tables by branch, product and ageing bucket, and charts.</t>
  </si>
  <si>
    <t xml:space="preserve">Colour legend</t>
  </si>
  <si>
    <t xml:space="preserve">Blue text on yellow = editable input (Assumptions sheet).</t>
  </si>
  <si>
    <t xml:space="preserve">Blue header on Data sheet = raw input columns; green header = formula columns (do not overwrite).</t>
  </si>
  <si>
    <t xml:space="preserve">Black text = formula. Everything on the Dashboard recalculates when Assumptions or Data change.</t>
  </si>
  <si>
    <t xml:space="preserve">Data note</t>
  </si>
  <si>
    <t xml:space="preserve">All data is SYNTHETIC, generated for portfolio demonstration. Targets and thresholds are illustrative. Not client data.</t>
  </si>
  <si>
    <t xml:space="preserve">Skills demonstrated</t>
  </si>
  <si>
    <t xml:space="preserve">Portfolio at Risk (PAR) analysis</t>
  </si>
  <si>
    <t xml:space="preserve">Ageing buckets and provisioning</t>
  </si>
  <si>
    <t xml:space="preserve">SUMIFS / COUNTIFS / INDEX-MATCH</t>
  </si>
  <si>
    <t xml:space="preserve">Assumption-driven modelling</t>
  </si>
  <si>
    <t xml:space="preserve">Dashboard design</t>
  </si>
  <si>
    <t xml:space="preserve">Loan Portfolio &amp; Credit Risk Dashboard</t>
  </si>
  <si>
    <t xml:space="preserve">Synthetic data | KES | All figures formula-driven</t>
  </si>
  <si>
    <t xml:space="preserve">Key metrics</t>
  </si>
  <si>
    <t xml:space="preserve">Active loans</t>
  </si>
  <si>
    <t xml:space="preserve">Gross loan book (KES)</t>
  </si>
  <si>
    <t xml:space="preserve">PAR30</t>
  </si>
  <si>
    <t xml:space="preserve">PAR90 (non-performing)</t>
  </si>
  <si>
    <t xml:space="preserve">Total provision (KES)</t>
  </si>
  <si>
    <t xml:space="preserve">Provision / gross book</t>
  </si>
  <si>
    <t xml:space="preserve">Provision / PAR90 balance</t>
  </si>
  <si>
    <t xml:space="preserve">PAR30 vs target</t>
  </si>
  <si>
    <t xml:space="preserve">Insights (auto-updating)</t>
  </si>
  <si>
    <t xml:space="preserve">Highest-risk branch (PAR30)</t>
  </si>
  <si>
    <t xml:space="preserve">Highest-risk product (PAR30)</t>
  </si>
  <si>
    <t xml:space="preserve">Book more than 30 days late</t>
  </si>
  <si>
    <t xml:space="preserve">Risk by branch</t>
  </si>
  <si>
    <t xml:space="preserve">Branch</t>
  </si>
  <si>
    <t xml:space="preserve">Loans</t>
  </si>
  <si>
    <t xml:space="preserve">Balance (KES)</t>
  </si>
  <si>
    <t xml:space="preserve">PAR30 balance (KES)</t>
  </si>
  <si>
    <t xml:space="preserve">PAR30 %</t>
  </si>
  <si>
    <t xml:space="preserve">PAR90 %</t>
  </si>
  <si>
    <t xml:space="preserve">Provision (KES)</t>
  </si>
  <si>
    <t xml:space="preserve">Share of book</t>
  </si>
  <si>
    <t xml:space="preserve">vs target</t>
  </si>
  <si>
    <t xml:space="preserve">Bomet</t>
  </si>
  <si>
    <t xml:space="preserve">Kericho</t>
  </si>
  <si>
    <t xml:space="preserve">Sotik</t>
  </si>
  <si>
    <t xml:space="preserve">Litein</t>
  </si>
  <si>
    <t xml:space="preserve">Nakuru</t>
  </si>
  <si>
    <t xml:space="preserve">Kisii</t>
  </si>
  <si>
    <t xml:space="preserve">Risk by product</t>
  </si>
  <si>
    <t xml:space="preserve">Product</t>
  </si>
  <si>
    <t xml:space="preserve">Development Loan</t>
  </si>
  <si>
    <t xml:space="preserve">Emergency Loan</t>
  </si>
  <si>
    <t xml:space="preserve">Agribusiness Loan</t>
  </si>
  <si>
    <t xml:space="preserve">School Fees Loan</t>
  </si>
  <si>
    <t xml:space="preserve">Asset Finance</t>
  </si>
  <si>
    <t xml:space="preserve">Ageing buckets</t>
  </si>
  <si>
    <t xml:space="preserve">Bucket</t>
  </si>
  <si>
    <t xml:space="preserve">Provision rate</t>
  </si>
  <si>
    <t xml:space="preserve">Current</t>
  </si>
  <si>
    <t xml:space="preserve">01-30 days</t>
  </si>
  <si>
    <t xml:space="preserve">31-90 days</t>
  </si>
  <si>
    <t xml:space="preserve">91-180 days</t>
  </si>
  <si>
    <t xml:space="preserve">180+ days</t>
  </si>
  <si>
    <t xml:space="preserve">Assumptions (edit the yellow cells)</t>
  </si>
  <si>
    <t xml:space="preserve">Parameter</t>
  </si>
  <si>
    <t xml:space="preserve">Value</t>
  </si>
  <si>
    <t xml:space="preserve">Note</t>
  </si>
  <si>
    <t xml:space="preserve">PAR threshold 1 (days past due &gt;)</t>
  </si>
  <si>
    <t xml:space="preserve">Balances of loans more than this many days late count toward PAR30.</t>
  </si>
  <si>
    <t xml:space="preserve">PAR threshold 2 (days past due &gt;)</t>
  </si>
  <si>
    <t xml:space="preserve">Used for PAR90 / non-performing loans.</t>
  </si>
  <si>
    <t xml:space="preserve">Target PAR30</t>
  </si>
  <si>
    <t xml:space="preserve">Illustrative internal target.</t>
  </si>
  <si>
    <t xml:space="preserve">Provision rate by ageing bucket</t>
  </si>
  <si>
    <t xml:space="preserve">Illustrative rates; replace with the SACCO/IFRS 9 policy.</t>
  </si>
  <si>
    <t xml:space="preserve">Loan ID</t>
  </si>
  <si>
    <t xml:space="preserve">Disbursed</t>
  </si>
  <si>
    <t xml:space="preserve">Amount (KES)</t>
  </si>
  <si>
    <t xml:space="preserve">Interest rate (p.a.)</t>
  </si>
  <si>
    <t xml:space="preserve">Term (months)</t>
  </si>
  <si>
    <t xml:space="preserve">Outstanding balance (KES)</t>
  </si>
  <si>
    <t xml:space="preserve">Days past due</t>
  </si>
  <si>
    <t xml:space="preserve">Ageing bucket</t>
  </si>
  <si>
    <t xml:space="preserve">PAR90 balance (KES)</t>
  </si>
  <si>
    <t xml:space="preserve">LN1001</t>
  </si>
  <si>
    <t xml:space="preserve">LN1002</t>
  </si>
  <si>
    <t xml:space="preserve">LN1003</t>
  </si>
  <si>
    <t xml:space="preserve">LN1004</t>
  </si>
  <si>
    <t xml:space="preserve">LN1005</t>
  </si>
  <si>
    <t xml:space="preserve">LN1006</t>
  </si>
  <si>
    <t xml:space="preserve">LN1007</t>
  </si>
  <si>
    <t xml:space="preserve">LN1008</t>
  </si>
  <si>
    <t xml:space="preserve">LN1009</t>
  </si>
  <si>
    <t xml:space="preserve">LN1010</t>
  </si>
  <si>
    <t xml:space="preserve">LN1011</t>
  </si>
  <si>
    <t xml:space="preserve">LN1012</t>
  </si>
  <si>
    <t xml:space="preserve">LN1013</t>
  </si>
  <si>
    <t xml:space="preserve">LN1014</t>
  </si>
  <si>
    <t xml:space="preserve">LN1015</t>
  </si>
  <si>
    <t xml:space="preserve">LN1016</t>
  </si>
  <si>
    <t xml:space="preserve">LN1017</t>
  </si>
  <si>
    <t xml:space="preserve">LN1018</t>
  </si>
  <si>
    <t xml:space="preserve">LN1019</t>
  </si>
  <si>
    <t xml:space="preserve">LN1020</t>
  </si>
  <si>
    <t xml:space="preserve">LN1021</t>
  </si>
  <si>
    <t xml:space="preserve">LN1022</t>
  </si>
  <si>
    <t xml:space="preserve">LN1023</t>
  </si>
  <si>
    <t xml:space="preserve">LN1024</t>
  </si>
  <si>
    <t xml:space="preserve">LN1025</t>
  </si>
  <si>
    <t xml:space="preserve">LN1026</t>
  </si>
  <si>
    <t xml:space="preserve">LN1027</t>
  </si>
  <si>
    <t xml:space="preserve">LN1028</t>
  </si>
  <si>
    <t xml:space="preserve">LN1029</t>
  </si>
  <si>
    <t xml:space="preserve">LN1030</t>
  </si>
  <si>
    <t xml:space="preserve">LN1031</t>
  </si>
  <si>
    <t xml:space="preserve">LN1032</t>
  </si>
  <si>
    <t xml:space="preserve">LN1033</t>
  </si>
  <si>
    <t xml:space="preserve">LN1034</t>
  </si>
  <si>
    <t xml:space="preserve">LN1035</t>
  </si>
  <si>
    <t xml:space="preserve">LN1036</t>
  </si>
  <si>
    <t xml:space="preserve">LN1037</t>
  </si>
  <si>
    <t xml:space="preserve">LN1038</t>
  </si>
  <si>
    <t xml:space="preserve">LN1039</t>
  </si>
  <si>
    <t xml:space="preserve">LN1040</t>
  </si>
  <si>
    <t xml:space="preserve">LN1041</t>
  </si>
  <si>
    <t xml:space="preserve">LN1042</t>
  </si>
  <si>
    <t xml:space="preserve">LN1043</t>
  </si>
  <si>
    <t xml:space="preserve">LN1044</t>
  </si>
  <si>
    <t xml:space="preserve">LN1045</t>
  </si>
  <si>
    <t xml:space="preserve">LN1046</t>
  </si>
  <si>
    <t xml:space="preserve">LN1047</t>
  </si>
  <si>
    <t xml:space="preserve">LN1048</t>
  </si>
  <si>
    <t xml:space="preserve">LN1049</t>
  </si>
  <si>
    <t xml:space="preserve">LN1050</t>
  </si>
  <si>
    <t xml:space="preserve">LN1051</t>
  </si>
  <si>
    <t xml:space="preserve">LN1052</t>
  </si>
  <si>
    <t xml:space="preserve">LN1053</t>
  </si>
  <si>
    <t xml:space="preserve">LN1054</t>
  </si>
  <si>
    <t xml:space="preserve">LN1055</t>
  </si>
  <si>
    <t xml:space="preserve">LN1056</t>
  </si>
  <si>
    <t xml:space="preserve">LN1057</t>
  </si>
  <si>
    <t xml:space="preserve">LN1058</t>
  </si>
  <si>
    <t xml:space="preserve">LN1059</t>
  </si>
  <si>
    <t xml:space="preserve">LN1060</t>
  </si>
  <si>
    <t xml:space="preserve">LN1061</t>
  </si>
  <si>
    <t xml:space="preserve">LN1062</t>
  </si>
  <si>
    <t xml:space="preserve">LN1063</t>
  </si>
  <si>
    <t xml:space="preserve">LN1064</t>
  </si>
  <si>
    <t xml:space="preserve">LN1065</t>
  </si>
  <si>
    <t xml:space="preserve">LN1066</t>
  </si>
  <si>
    <t xml:space="preserve">LN1067</t>
  </si>
  <si>
    <t xml:space="preserve">LN1068</t>
  </si>
  <si>
    <t xml:space="preserve">LN1069</t>
  </si>
  <si>
    <t xml:space="preserve">LN1070</t>
  </si>
  <si>
    <t xml:space="preserve">LN1071</t>
  </si>
  <si>
    <t xml:space="preserve">LN1072</t>
  </si>
  <si>
    <t xml:space="preserve">LN1073</t>
  </si>
  <si>
    <t xml:space="preserve">LN1074</t>
  </si>
  <si>
    <t xml:space="preserve">LN1075</t>
  </si>
  <si>
    <t xml:space="preserve">LN1076</t>
  </si>
  <si>
    <t xml:space="preserve">LN1077</t>
  </si>
  <si>
    <t xml:space="preserve">LN1078</t>
  </si>
  <si>
    <t xml:space="preserve">LN1079</t>
  </si>
  <si>
    <t xml:space="preserve">LN1080</t>
  </si>
  <si>
    <t xml:space="preserve">LN1081</t>
  </si>
  <si>
    <t xml:space="preserve">LN1082</t>
  </si>
  <si>
    <t xml:space="preserve">LN1083</t>
  </si>
  <si>
    <t xml:space="preserve">LN1084</t>
  </si>
  <si>
    <t xml:space="preserve">LN1085</t>
  </si>
  <si>
    <t xml:space="preserve">LN1086</t>
  </si>
  <si>
    <t xml:space="preserve">LN1087</t>
  </si>
  <si>
    <t xml:space="preserve">LN1088</t>
  </si>
  <si>
    <t xml:space="preserve">LN1089</t>
  </si>
  <si>
    <t xml:space="preserve">LN1090</t>
  </si>
  <si>
    <t xml:space="preserve">LN1091</t>
  </si>
  <si>
    <t xml:space="preserve">LN1092</t>
  </si>
  <si>
    <t xml:space="preserve">LN1093</t>
  </si>
  <si>
    <t xml:space="preserve">LN1094</t>
  </si>
  <si>
    <t xml:space="preserve">LN1095</t>
  </si>
  <si>
    <t xml:space="preserve">LN1096</t>
  </si>
  <si>
    <t xml:space="preserve">LN1097</t>
  </si>
  <si>
    <t xml:space="preserve">LN1098</t>
  </si>
  <si>
    <t xml:space="preserve">LN1099</t>
  </si>
  <si>
    <t xml:space="preserve">LN1100</t>
  </si>
  <si>
    <t xml:space="preserve">LN1101</t>
  </si>
  <si>
    <t xml:space="preserve">LN1102</t>
  </si>
  <si>
    <t xml:space="preserve">LN1103</t>
  </si>
  <si>
    <t xml:space="preserve">LN1104</t>
  </si>
  <si>
    <t xml:space="preserve">LN1105</t>
  </si>
  <si>
    <t xml:space="preserve">LN1106</t>
  </si>
  <si>
    <t xml:space="preserve">LN1107</t>
  </si>
  <si>
    <t xml:space="preserve">LN1108</t>
  </si>
  <si>
    <t xml:space="preserve">LN1109</t>
  </si>
  <si>
    <t xml:space="preserve">LN1110</t>
  </si>
  <si>
    <t xml:space="preserve">LN1111</t>
  </si>
  <si>
    <t xml:space="preserve">LN1112</t>
  </si>
  <si>
    <t xml:space="preserve">LN1113</t>
  </si>
  <si>
    <t xml:space="preserve">LN1114</t>
  </si>
  <si>
    <t xml:space="preserve">LN1115</t>
  </si>
  <si>
    <t xml:space="preserve">LN1116</t>
  </si>
  <si>
    <t xml:space="preserve">LN1117</t>
  </si>
  <si>
    <t xml:space="preserve">LN1118</t>
  </si>
  <si>
    <t xml:space="preserve">LN1119</t>
  </si>
  <si>
    <t xml:space="preserve">LN1120</t>
  </si>
  <si>
    <t xml:space="preserve">LN1121</t>
  </si>
  <si>
    <t xml:space="preserve">LN1122</t>
  </si>
  <si>
    <t xml:space="preserve">LN1123</t>
  </si>
  <si>
    <t xml:space="preserve">LN1124</t>
  </si>
  <si>
    <t xml:space="preserve">LN1125</t>
  </si>
  <si>
    <t xml:space="preserve">LN1126</t>
  </si>
  <si>
    <t xml:space="preserve">LN1127</t>
  </si>
  <si>
    <t xml:space="preserve">LN1128</t>
  </si>
  <si>
    <t xml:space="preserve">LN1129</t>
  </si>
  <si>
    <t xml:space="preserve">LN1130</t>
  </si>
  <si>
    <t xml:space="preserve">LN1131</t>
  </si>
  <si>
    <t xml:space="preserve">LN1132</t>
  </si>
  <si>
    <t xml:space="preserve">LN1133</t>
  </si>
  <si>
    <t xml:space="preserve">LN1134</t>
  </si>
  <si>
    <t xml:space="preserve">LN1135</t>
  </si>
  <si>
    <t xml:space="preserve">LN1136</t>
  </si>
  <si>
    <t xml:space="preserve">LN1137</t>
  </si>
  <si>
    <t xml:space="preserve">LN1138</t>
  </si>
  <si>
    <t xml:space="preserve">LN1139</t>
  </si>
  <si>
    <t xml:space="preserve">LN1140</t>
  </si>
  <si>
    <t xml:space="preserve">LN1141</t>
  </si>
  <si>
    <t xml:space="preserve">LN1142</t>
  </si>
  <si>
    <t xml:space="preserve">LN1143</t>
  </si>
  <si>
    <t xml:space="preserve">LN1144</t>
  </si>
  <si>
    <t xml:space="preserve">LN1145</t>
  </si>
  <si>
    <t xml:space="preserve">LN1146</t>
  </si>
  <si>
    <t xml:space="preserve">LN1147</t>
  </si>
  <si>
    <t xml:space="preserve">LN1148</t>
  </si>
  <si>
    <t xml:space="preserve">LN1149</t>
  </si>
  <si>
    <t xml:space="preserve">LN1150</t>
  </si>
  <si>
    <t xml:space="preserve">LN1151</t>
  </si>
  <si>
    <t xml:space="preserve">LN1152</t>
  </si>
  <si>
    <t xml:space="preserve">LN1153</t>
  </si>
  <si>
    <t xml:space="preserve">LN1154</t>
  </si>
  <si>
    <t xml:space="preserve">LN1155</t>
  </si>
  <si>
    <t xml:space="preserve">LN1156</t>
  </si>
  <si>
    <t xml:space="preserve">LN1157</t>
  </si>
  <si>
    <t xml:space="preserve">LN1158</t>
  </si>
  <si>
    <t xml:space="preserve">LN1159</t>
  </si>
  <si>
    <t xml:space="preserve">LN1160</t>
  </si>
  <si>
    <t xml:space="preserve">LN1161</t>
  </si>
  <si>
    <t xml:space="preserve">LN1162</t>
  </si>
  <si>
    <t xml:space="preserve">LN1163</t>
  </si>
  <si>
    <t xml:space="preserve">LN1164</t>
  </si>
  <si>
    <t xml:space="preserve">LN1165</t>
  </si>
  <si>
    <t xml:space="preserve">LN1166</t>
  </si>
  <si>
    <t xml:space="preserve">LN1167</t>
  </si>
  <si>
    <t xml:space="preserve">LN1168</t>
  </si>
  <si>
    <t xml:space="preserve">LN1169</t>
  </si>
  <si>
    <t xml:space="preserve">LN1170</t>
  </si>
  <si>
    <t xml:space="preserve">LN1171</t>
  </si>
  <si>
    <t xml:space="preserve">LN1172</t>
  </si>
  <si>
    <t xml:space="preserve">LN1173</t>
  </si>
  <si>
    <t xml:space="preserve">LN1174</t>
  </si>
  <si>
    <t xml:space="preserve">LN1175</t>
  </si>
  <si>
    <t xml:space="preserve">LN1176</t>
  </si>
  <si>
    <t xml:space="preserve">LN1177</t>
  </si>
  <si>
    <t xml:space="preserve">LN1178</t>
  </si>
  <si>
    <t xml:space="preserve">LN1179</t>
  </si>
  <si>
    <t xml:space="preserve">LN1180</t>
  </si>
  <si>
    <t xml:space="preserve">LN1181</t>
  </si>
  <si>
    <t xml:space="preserve">LN1182</t>
  </si>
  <si>
    <t xml:space="preserve">LN1183</t>
  </si>
  <si>
    <t xml:space="preserve">LN1184</t>
  </si>
  <si>
    <t xml:space="preserve">LN1185</t>
  </si>
  <si>
    <t xml:space="preserve">LN1186</t>
  </si>
  <si>
    <t xml:space="preserve">LN1187</t>
  </si>
  <si>
    <t xml:space="preserve">LN1188</t>
  </si>
  <si>
    <t xml:space="preserve">LN1189</t>
  </si>
  <si>
    <t xml:space="preserve">LN1190</t>
  </si>
  <si>
    <t xml:space="preserve">LN1191</t>
  </si>
  <si>
    <t xml:space="preserve">LN1192</t>
  </si>
  <si>
    <t xml:space="preserve">LN1193</t>
  </si>
  <si>
    <t xml:space="preserve">LN1194</t>
  </si>
  <si>
    <t xml:space="preserve">LN1195</t>
  </si>
  <si>
    <t xml:space="preserve">LN1196</t>
  </si>
  <si>
    <t xml:space="preserve">LN1197</t>
  </si>
  <si>
    <t xml:space="preserve">LN1198</t>
  </si>
  <si>
    <t xml:space="preserve">LN1199</t>
  </si>
  <si>
    <t xml:space="preserve">LN1200</t>
  </si>
  <si>
    <t xml:space="preserve">LN1201</t>
  </si>
  <si>
    <t xml:space="preserve">LN1202</t>
  </si>
  <si>
    <t xml:space="preserve">LN1203</t>
  </si>
  <si>
    <t xml:space="preserve">LN1204</t>
  </si>
  <si>
    <t xml:space="preserve">LN1205</t>
  </si>
  <si>
    <t xml:space="preserve">LN1206</t>
  </si>
  <si>
    <t xml:space="preserve">LN1207</t>
  </si>
  <si>
    <t xml:space="preserve">LN1208</t>
  </si>
  <si>
    <t xml:space="preserve">LN1209</t>
  </si>
  <si>
    <t xml:space="preserve">LN1210</t>
  </si>
  <si>
    <t xml:space="preserve">LN1211</t>
  </si>
  <si>
    <t xml:space="preserve">LN1212</t>
  </si>
  <si>
    <t xml:space="preserve">LN1213</t>
  </si>
  <si>
    <t xml:space="preserve">LN1214</t>
  </si>
  <si>
    <t xml:space="preserve">LN1215</t>
  </si>
  <si>
    <t xml:space="preserve">LN1216</t>
  </si>
  <si>
    <t xml:space="preserve">LN1217</t>
  </si>
  <si>
    <t xml:space="preserve">LN1218</t>
  </si>
  <si>
    <t xml:space="preserve">LN1219</t>
  </si>
  <si>
    <t xml:space="preserve">LN1220</t>
  </si>
  <si>
    <t xml:space="preserve">LN1221</t>
  </si>
  <si>
    <t xml:space="preserve">LN1222</t>
  </si>
  <si>
    <t xml:space="preserve">LN1223</t>
  </si>
  <si>
    <t xml:space="preserve">LN1224</t>
  </si>
  <si>
    <t xml:space="preserve">LN1225</t>
  </si>
  <si>
    <t xml:space="preserve">LN1226</t>
  </si>
  <si>
    <t xml:space="preserve">LN1227</t>
  </si>
  <si>
    <t xml:space="preserve">LN1228</t>
  </si>
  <si>
    <t xml:space="preserve">LN1229</t>
  </si>
  <si>
    <t xml:space="preserve">LN1230</t>
  </si>
  <si>
    <t xml:space="preserve">LN1231</t>
  </si>
  <si>
    <t xml:space="preserve">LN1232</t>
  </si>
  <si>
    <t xml:space="preserve">LN1233</t>
  </si>
  <si>
    <t xml:space="preserve">LN1234</t>
  </si>
  <si>
    <t xml:space="preserve">LN1235</t>
  </si>
  <si>
    <t xml:space="preserve">LN1236</t>
  </si>
  <si>
    <t xml:space="preserve">LN1237</t>
  </si>
  <si>
    <t xml:space="preserve">LN1238</t>
  </si>
  <si>
    <t xml:space="preserve">LN1239</t>
  </si>
  <si>
    <t xml:space="preserve">LN1240</t>
  </si>
  <si>
    <t xml:space="preserve">LN1241</t>
  </si>
  <si>
    <t xml:space="preserve">LN1242</t>
  </si>
  <si>
    <t xml:space="preserve">LN1243</t>
  </si>
  <si>
    <t xml:space="preserve">LN1244</t>
  </si>
  <si>
    <t xml:space="preserve">LN1245</t>
  </si>
  <si>
    <t xml:space="preserve">LN1246</t>
  </si>
  <si>
    <t xml:space="preserve">LN1247</t>
  </si>
  <si>
    <t xml:space="preserve">LN1248</t>
  </si>
  <si>
    <t xml:space="preserve">LN1249</t>
  </si>
  <si>
    <t xml:space="preserve">LN1250</t>
  </si>
  <si>
    <t xml:space="preserve">LN1251</t>
  </si>
  <si>
    <t xml:space="preserve">LN1252</t>
  </si>
  <si>
    <t xml:space="preserve">LN1253</t>
  </si>
  <si>
    <t xml:space="preserve">LN1254</t>
  </si>
  <si>
    <t xml:space="preserve">LN1255</t>
  </si>
  <si>
    <t xml:space="preserve">LN1256</t>
  </si>
  <si>
    <t xml:space="preserve">LN1257</t>
  </si>
  <si>
    <t xml:space="preserve">LN1258</t>
  </si>
  <si>
    <t xml:space="preserve">LN1259</t>
  </si>
  <si>
    <t xml:space="preserve">LN1260</t>
  </si>
  <si>
    <t xml:space="preserve">LN1261</t>
  </si>
  <si>
    <t xml:space="preserve">LN1262</t>
  </si>
  <si>
    <t xml:space="preserve">LN1263</t>
  </si>
  <si>
    <t xml:space="preserve">LN1264</t>
  </si>
  <si>
    <t xml:space="preserve">LN1265</t>
  </si>
  <si>
    <t xml:space="preserve">LN1266</t>
  </si>
  <si>
    <t xml:space="preserve">LN1267</t>
  </si>
  <si>
    <t xml:space="preserve">LN1268</t>
  </si>
  <si>
    <t xml:space="preserve">LN1269</t>
  </si>
  <si>
    <t xml:space="preserve">LN1270</t>
  </si>
  <si>
    <t xml:space="preserve">LN1271</t>
  </si>
  <si>
    <t xml:space="preserve">LN1272</t>
  </si>
  <si>
    <t xml:space="preserve">LN1273</t>
  </si>
  <si>
    <t xml:space="preserve">LN1274</t>
  </si>
  <si>
    <t xml:space="preserve">LN1275</t>
  </si>
  <si>
    <t xml:space="preserve">LN1276</t>
  </si>
  <si>
    <t xml:space="preserve">LN1277</t>
  </si>
  <si>
    <t xml:space="preserve">LN1278</t>
  </si>
  <si>
    <t xml:space="preserve">LN1279</t>
  </si>
  <si>
    <t xml:space="preserve">LN1280</t>
  </si>
  <si>
    <t xml:space="preserve">LN1281</t>
  </si>
  <si>
    <t xml:space="preserve">LN1282</t>
  </si>
  <si>
    <t xml:space="preserve">LN1283</t>
  </si>
  <si>
    <t xml:space="preserve">LN1284</t>
  </si>
  <si>
    <t xml:space="preserve">LN1285</t>
  </si>
  <si>
    <t xml:space="preserve">LN1286</t>
  </si>
  <si>
    <t xml:space="preserve">LN1287</t>
  </si>
  <si>
    <t xml:space="preserve">LN1288</t>
  </si>
  <si>
    <t xml:space="preserve">LN1289</t>
  </si>
  <si>
    <t xml:space="preserve">LN1290</t>
  </si>
  <si>
    <t xml:space="preserve">LN1291</t>
  </si>
  <si>
    <t xml:space="preserve">LN1292</t>
  </si>
  <si>
    <t xml:space="preserve">LN1293</t>
  </si>
  <si>
    <t xml:space="preserve">LN1294</t>
  </si>
  <si>
    <t xml:space="preserve">LN1295</t>
  </si>
  <si>
    <t xml:space="preserve">LN1296</t>
  </si>
  <si>
    <t xml:space="preserve">LN1297</t>
  </si>
  <si>
    <t xml:space="preserve">LN1298</t>
  </si>
  <si>
    <t xml:space="preserve">LN1299</t>
  </si>
  <si>
    <t xml:space="preserve">LN1300</t>
  </si>
  <si>
    <t xml:space="preserve">LN1301</t>
  </si>
  <si>
    <t xml:space="preserve">LN1302</t>
  </si>
  <si>
    <t xml:space="preserve">LN1303</t>
  </si>
  <si>
    <t xml:space="preserve">LN1304</t>
  </si>
  <si>
    <t xml:space="preserve">LN1305</t>
  </si>
  <si>
    <t xml:space="preserve">LN1306</t>
  </si>
  <si>
    <t xml:space="preserve">LN1307</t>
  </si>
  <si>
    <t xml:space="preserve">LN1308</t>
  </si>
  <si>
    <t xml:space="preserve">LN1309</t>
  </si>
  <si>
    <t xml:space="preserve">LN1310</t>
  </si>
  <si>
    <t xml:space="preserve">LN1311</t>
  </si>
  <si>
    <t xml:space="preserve">LN1312</t>
  </si>
  <si>
    <t xml:space="preserve">LN1313</t>
  </si>
  <si>
    <t xml:space="preserve">LN1314</t>
  </si>
  <si>
    <t xml:space="preserve">LN1315</t>
  </si>
  <si>
    <t xml:space="preserve">LN1316</t>
  </si>
  <si>
    <t xml:space="preserve">LN1317</t>
  </si>
  <si>
    <t xml:space="preserve">LN1318</t>
  </si>
  <si>
    <t xml:space="preserve">LN1319</t>
  </si>
  <si>
    <t xml:space="preserve">LN1320</t>
  </si>
  <si>
    <t xml:space="preserve">LN1321</t>
  </si>
  <si>
    <t xml:space="preserve">LN1322</t>
  </si>
  <si>
    <t xml:space="preserve">LN1323</t>
  </si>
  <si>
    <t xml:space="preserve">LN1324</t>
  </si>
  <si>
    <t xml:space="preserve">LN1325</t>
  </si>
  <si>
    <t xml:space="preserve">LN1326</t>
  </si>
  <si>
    <t xml:space="preserve">LN1327</t>
  </si>
  <si>
    <t xml:space="preserve">LN1328</t>
  </si>
  <si>
    <t xml:space="preserve">LN1329</t>
  </si>
  <si>
    <t xml:space="preserve">LN1330</t>
  </si>
  <si>
    <t xml:space="preserve">LN1331</t>
  </si>
  <si>
    <t xml:space="preserve">LN1332</t>
  </si>
  <si>
    <t xml:space="preserve">LN1333</t>
  </si>
  <si>
    <t xml:space="preserve">LN1334</t>
  </si>
  <si>
    <t xml:space="preserve">LN1335</t>
  </si>
  <si>
    <t xml:space="preserve">LN1336</t>
  </si>
  <si>
    <t xml:space="preserve">LN1337</t>
  </si>
  <si>
    <t xml:space="preserve">LN1338</t>
  </si>
  <si>
    <t xml:space="preserve">LN1339</t>
  </si>
  <si>
    <t xml:space="preserve">LN1340</t>
  </si>
  <si>
    <t xml:space="preserve">LN1341</t>
  </si>
  <si>
    <t xml:space="preserve">LN1342</t>
  </si>
  <si>
    <t xml:space="preserve">LN1343</t>
  </si>
  <si>
    <t xml:space="preserve">LN1344</t>
  </si>
  <si>
    <t xml:space="preserve">LN1345</t>
  </si>
  <si>
    <t xml:space="preserve">LN1346</t>
  </si>
  <si>
    <t xml:space="preserve">LN1347</t>
  </si>
  <si>
    <t xml:space="preserve">LN1348</t>
  </si>
  <si>
    <t xml:space="preserve">LN1349</t>
  </si>
  <si>
    <t xml:space="preserve">LN1350</t>
  </si>
  <si>
    <t xml:space="preserve">LN1351</t>
  </si>
  <si>
    <t xml:space="preserve">LN1352</t>
  </si>
  <si>
    <t xml:space="preserve">LN1353</t>
  </si>
  <si>
    <t xml:space="preserve">LN1354</t>
  </si>
  <si>
    <t xml:space="preserve">LN1355</t>
  </si>
  <si>
    <t xml:space="preserve">LN1356</t>
  </si>
  <si>
    <t xml:space="preserve">LN1357</t>
  </si>
  <si>
    <t xml:space="preserve">LN1358</t>
  </si>
  <si>
    <t xml:space="preserve">LN1359</t>
  </si>
  <si>
    <t xml:space="preserve">LN1360</t>
  </si>
  <si>
    <t xml:space="preserve">LN1361</t>
  </si>
  <si>
    <t xml:space="preserve">LN1362</t>
  </si>
  <si>
    <t xml:space="preserve">LN1363</t>
  </si>
  <si>
    <t xml:space="preserve">LN1364</t>
  </si>
  <si>
    <t xml:space="preserve">LN1365</t>
  </si>
  <si>
    <t xml:space="preserve">LN1366</t>
  </si>
  <si>
    <t xml:space="preserve">LN1367</t>
  </si>
  <si>
    <t xml:space="preserve">LN1368</t>
  </si>
  <si>
    <t xml:space="preserve">LN1369</t>
  </si>
  <si>
    <t xml:space="preserve">LN1370</t>
  </si>
  <si>
    <t xml:space="preserve">LN1371</t>
  </si>
  <si>
    <t xml:space="preserve">LN1372</t>
  </si>
  <si>
    <t xml:space="preserve">LN1373</t>
  </si>
  <si>
    <t xml:space="preserve">LN1374</t>
  </si>
  <si>
    <t xml:space="preserve">LN1375</t>
  </si>
  <si>
    <t xml:space="preserve">LN1376</t>
  </si>
  <si>
    <t xml:space="preserve">LN1377</t>
  </si>
  <si>
    <t xml:space="preserve">LN1378</t>
  </si>
  <si>
    <t xml:space="preserve">LN1379</t>
  </si>
  <si>
    <t xml:space="preserve">LN1380</t>
  </si>
  <si>
    <t xml:space="preserve">LN1381</t>
  </si>
  <si>
    <t xml:space="preserve">LN1382</t>
  </si>
  <si>
    <t xml:space="preserve">LN1383</t>
  </si>
  <si>
    <t xml:space="preserve">LN1384</t>
  </si>
  <si>
    <t xml:space="preserve">LN1385</t>
  </si>
  <si>
    <t xml:space="preserve">LN1386</t>
  </si>
  <si>
    <t xml:space="preserve">LN1387</t>
  </si>
  <si>
    <t xml:space="preserve">LN1388</t>
  </si>
  <si>
    <t xml:space="preserve">LN1389</t>
  </si>
  <si>
    <t xml:space="preserve">LN1390</t>
  </si>
  <si>
    <t xml:space="preserve">LN1391</t>
  </si>
  <si>
    <t xml:space="preserve">LN1392</t>
  </si>
  <si>
    <t xml:space="preserve">LN1393</t>
  </si>
  <si>
    <t xml:space="preserve">LN1394</t>
  </si>
  <si>
    <t xml:space="preserve">LN1395</t>
  </si>
  <si>
    <t xml:space="preserve">LN1396</t>
  </si>
  <si>
    <t xml:space="preserve">LN1397</t>
  </si>
  <si>
    <t xml:space="preserve">LN1398</t>
  </si>
  <si>
    <t xml:space="preserve">LN1399</t>
  </si>
  <si>
    <t xml:space="preserve">LN1400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</si>
</sst>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@"/>
    <numFmt numFmtId="168" formatCode="0"/>
    <numFmt numFmtId="169" formatCode="dd\-mmm\-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7D32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PAR30 % by branch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Dashboard!E20</c:f>
              <c:strCache>
                <c:ptCount val="1"/>
                <c:pt idx="0">
                  <c:v>PAR30 %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Dashboard!$A$21:$A$26</c:f>
              <c:strCache>
                <c:ptCount val="6"/>
                <c:pt idx="0">
                  <c:v>Bomet</c:v>
                </c:pt>
                <c:pt idx="1">
                  <c:v>Kericho</c:v>
                </c:pt>
                <c:pt idx="2">
                  <c:v>Sotik</c:v>
                </c:pt>
                <c:pt idx="3">
                  <c:v>Litein</c:v>
                </c:pt>
                <c:pt idx="4">
                  <c:v>Nakuru</c:v>
                </c:pt>
                <c:pt idx="5">
                  <c:v>Kisii</c:v>
                </c:pt>
              </c:strCache>
            </c:strRef>
          </c:cat>
          <c:val>
            <c:numRef>
              <c:f>Dashboard!$E$21:$E$26</c:f>
              <c:numCache>
                <c:formatCode>0.0%</c:formatCode>
                <c:ptCount val="6"/>
                <c:pt idx="0">
                  <c:v>0.16951374958208</c:v>
                </c:pt>
                <c:pt idx="1">
                  <c:v>0.0975992605059604</c:v>
                </c:pt>
                <c:pt idx="2">
                  <c:v>0.238444376319913</c:v>
                </c:pt>
                <c:pt idx="3">
                  <c:v>0.120527419838178</c:v>
                </c:pt>
                <c:pt idx="4">
                  <c:v>0.0135028049115374</c:v>
                </c:pt>
                <c:pt idx="5">
                  <c:v>0.142090876678683</c:v>
                </c:pt>
              </c:numCache>
            </c:numRef>
          </c:val>
        </c:ser>
        <c:gapWidth val="150"/>
        <c:overlap val="0"/>
        <c:axId val="59830103"/>
        <c:axId val="36194342"/>
      </c:barChart>
      <c:catAx>
        <c:axId val="59830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94342"/>
        <c:crosses val="autoZero"/>
        <c:auto val="1"/>
        <c:lblAlgn val="ctr"/>
        <c:lblOffset val="100"/>
        <c:noMultiLvlLbl val="0"/>
      </c:catAx>
      <c:valAx>
        <c:axId val="361943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301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PAR30 %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Dashboard!E30</c:f>
              <c:strCache>
                <c:ptCount val="1"/>
                <c:pt idx="0">
                  <c:v>PAR30 %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Dashboard!$A$31:$A$35</c:f>
              <c:strCache>
                <c:ptCount val="5"/>
                <c:pt idx="0">
                  <c:v>Development Loan</c:v>
                </c:pt>
                <c:pt idx="1">
                  <c:v>Emergency Loan</c:v>
                </c:pt>
                <c:pt idx="2">
                  <c:v>Agribusiness Loan</c:v>
                </c:pt>
                <c:pt idx="3">
                  <c:v>School Fees Loan</c:v>
                </c:pt>
                <c:pt idx="4">
                  <c:v>Asset Finance</c:v>
                </c:pt>
              </c:strCache>
            </c:strRef>
          </c:cat>
          <c:val>
            <c:numRef>
              <c:f>Dashboard!$E$31:$E$35</c:f>
              <c:numCache>
                <c:formatCode>0.0%</c:formatCode>
                <c:ptCount val="5"/>
                <c:pt idx="0">
                  <c:v>0.164696911932901</c:v>
                </c:pt>
                <c:pt idx="1">
                  <c:v>0.189653246970797</c:v>
                </c:pt>
                <c:pt idx="2">
                  <c:v>0.196227085211595</c:v>
                </c:pt>
                <c:pt idx="3">
                  <c:v>0.0628797034888406</c:v>
                </c:pt>
                <c:pt idx="4">
                  <c:v>0.10117985031634</c:v>
                </c:pt>
              </c:numCache>
            </c:numRef>
          </c:val>
        </c:ser>
        <c:gapWidth val="150"/>
        <c:overlap val="0"/>
        <c:axId val="35209987"/>
        <c:axId val="42370430"/>
      </c:barChart>
      <c:catAx>
        <c:axId val="352099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70430"/>
        <c:crosses val="autoZero"/>
        <c:auto val="1"/>
        <c:lblAlgn val="ctr"/>
        <c:lblOffset val="100"/>
        <c:noMultiLvlLbl val="0"/>
      </c:catAx>
      <c:valAx>
        <c:axId val="42370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099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Balance by ageing bucket (KES)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Dashboard!C39</c:f>
              <c:strCache>
                <c:ptCount val="1"/>
                <c:pt idx="0">
                  <c:v>Balance (KES)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Dashboard!$A$40:$A$44</c:f>
              <c:strCache>
                <c:ptCount val="5"/>
                <c:pt idx="0">
                  <c:v>Current</c:v>
                </c:pt>
                <c:pt idx="1">
                  <c:v>01-30 days</c:v>
                </c:pt>
                <c:pt idx="2">
                  <c:v>31-90 days</c:v>
                </c:pt>
                <c:pt idx="3">
                  <c:v>91-180 days</c:v>
                </c:pt>
                <c:pt idx="4">
                  <c:v>180+ days</c:v>
                </c:pt>
              </c:strCache>
            </c:strRef>
          </c:cat>
          <c:val>
            <c:numRef>
              <c:f>Dashboard!$C$40:$C$44</c:f>
              <c:numCache>
                <c:formatCode>#,##0</c:formatCode>
                <c:ptCount val="5"/>
                <c:pt idx="0">
                  <c:v>62398700</c:v>
                </c:pt>
                <c:pt idx="1">
                  <c:v>6463300</c:v>
                </c:pt>
                <c:pt idx="2">
                  <c:v>6855700</c:v>
                </c:pt>
                <c:pt idx="3">
                  <c:v>1957800</c:v>
                </c:pt>
                <c:pt idx="4">
                  <c:v>1723900</c:v>
                </c:pt>
              </c:numCache>
            </c:numRef>
          </c:val>
        </c:ser>
        <c:gapWidth val="150"/>
        <c:overlap val="0"/>
        <c:axId val="1730775"/>
        <c:axId val="35399754"/>
      </c:barChart>
      <c:catAx>
        <c:axId val="1730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99754"/>
        <c:crosses val="autoZero"/>
        <c:auto val="1"/>
        <c:lblAlgn val="ctr"/>
        <c:lblOffset val="100"/>
        <c:noMultiLvlLbl val="0"/>
      </c:catAx>
      <c:valAx>
        <c:axId val="35399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07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131040</xdr:rowOff>
    </xdr:from>
    <xdr:to>
      <xdr:col>18</xdr:col>
      <xdr:colOff>507600</xdr:colOff>
      <xdr:row>16</xdr:row>
      <xdr:rowOff>163800</xdr:rowOff>
    </xdr:to>
    <xdr:graphicFrame>
      <xdr:nvGraphicFramePr>
        <xdr:cNvPr id="0" name="Chart 1"/>
        <xdr:cNvGraphicFramePr/>
      </xdr:nvGraphicFramePr>
      <xdr:xfrm>
        <a:off x="1254636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18</xdr:row>
      <xdr:rowOff>130680</xdr:rowOff>
    </xdr:from>
    <xdr:to>
      <xdr:col>18</xdr:col>
      <xdr:colOff>507600</xdr:colOff>
      <xdr:row>30</xdr:row>
      <xdr:rowOff>163440</xdr:rowOff>
    </xdr:to>
    <xdr:graphicFrame>
      <xdr:nvGraphicFramePr>
        <xdr:cNvPr id="1" name="Chart 2"/>
        <xdr:cNvGraphicFramePr/>
      </xdr:nvGraphicFramePr>
      <xdr:xfrm>
        <a:off x="1254636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34</xdr:row>
      <xdr:rowOff>130680</xdr:rowOff>
    </xdr:from>
    <xdr:to>
      <xdr:col>18</xdr:col>
      <xdr:colOff>507600</xdr:colOff>
      <xdr:row>47</xdr:row>
      <xdr:rowOff>163440</xdr:rowOff>
    </xdr:to>
    <xdr:graphicFrame>
      <xdr:nvGraphicFramePr>
        <xdr:cNvPr id="2" name="Chart 3"/>
        <xdr:cNvGraphicFramePr/>
      </xdr:nvGraphicFramePr>
      <xdr:xfrm>
        <a:off x="12546360" y="7048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3" customFormat="false" ht="35.05" hidden="false" customHeight="false" outlineLevel="0" collapsed="false">
      <c r="A3" s="2" t="s">
        <v>1</v>
      </c>
      <c r="B3" s="3" t="s">
        <v>2</v>
      </c>
    </row>
    <row r="5" customFormat="false" ht="15" hidden="false" customHeight="false" outlineLevel="0" collapsed="false">
      <c r="A5" s="2" t="s">
        <v>3</v>
      </c>
      <c r="B5" s="3" t="s">
        <v>4</v>
      </c>
    </row>
    <row r="6" customFormat="false" ht="15" hidden="false" customHeight="false" outlineLevel="0" collapsed="false">
      <c r="B6" s="3" t="s">
        <v>5</v>
      </c>
    </row>
    <row r="7" customFormat="false" ht="15" hidden="false" customHeight="false" outlineLevel="0" collapsed="false">
      <c r="B7" s="3" t="s">
        <v>6</v>
      </c>
    </row>
    <row r="9" customFormat="false" ht="15" hidden="false" customHeight="false" outlineLevel="0" collapsed="false">
      <c r="A9" s="2" t="s">
        <v>7</v>
      </c>
      <c r="B9" s="3" t="s">
        <v>8</v>
      </c>
    </row>
    <row r="10" customFormat="false" ht="15" hidden="false" customHeight="false" outlineLevel="0" collapsed="false">
      <c r="B10" s="3" t="s">
        <v>9</v>
      </c>
    </row>
    <row r="11" customFormat="false" ht="15" hidden="false" customHeight="false" outlineLevel="0" collapsed="false">
      <c r="B11" s="3" t="s">
        <v>10</v>
      </c>
    </row>
    <row r="13" customFormat="false" ht="15" hidden="false" customHeight="false" outlineLevel="0" collapsed="false">
      <c r="A13" s="2" t="s">
        <v>11</v>
      </c>
      <c r="B13" s="3" t="s">
        <v>12</v>
      </c>
    </row>
    <row r="15" customFormat="false" ht="15" hidden="false" customHeight="false" outlineLevel="0" collapsed="false">
      <c r="A15" s="2" t="s">
        <v>13</v>
      </c>
      <c r="B15" s="3" t="s">
        <v>14</v>
      </c>
    </row>
    <row r="16" customFormat="false" ht="15" hidden="false" customHeight="false" outlineLevel="0" collapsed="false">
      <c r="B16" s="3" t="s">
        <v>15</v>
      </c>
    </row>
    <row r="17" customFormat="false" ht="15" hidden="false" customHeight="false" outlineLevel="0" collapsed="false">
      <c r="B17" s="3" t="s">
        <v>16</v>
      </c>
    </row>
    <row r="18" customFormat="false" ht="15" hidden="false" customHeight="false" outlineLevel="0" collapsed="false">
      <c r="B18" s="3" t="s">
        <v>17</v>
      </c>
    </row>
    <row r="19" customFormat="false" ht="15" hidden="false" customHeight="false" outlineLevel="0" collapsed="false">
      <c r="B19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10" min="3" style="0" width="16"/>
  </cols>
  <sheetData>
    <row r="1" customFormat="false" ht="19.7" hidden="false" customHeight="false" outlineLevel="0" collapsed="false">
      <c r="A1" s="1" t="s">
        <v>19</v>
      </c>
    </row>
    <row r="2" customFormat="false" ht="15" hidden="false" customHeight="false" outlineLevel="0" collapsed="false">
      <c r="A2" s="4" t="s">
        <v>20</v>
      </c>
    </row>
    <row r="4" customFormat="false" ht="15" hidden="false" customHeight="false" outlineLevel="0" collapsed="false">
      <c r="A4" s="5" t="s">
        <v>21</v>
      </c>
    </row>
    <row r="5" customFormat="false" ht="15" hidden="false" customHeight="false" outlineLevel="0" collapsed="false">
      <c r="A5" s="2" t="s">
        <v>22</v>
      </c>
      <c r="B5" s="6" t="n">
        <f aca="false">COUNTA(Loans!$A$2:$A$401)</f>
        <v>400</v>
      </c>
    </row>
    <row r="6" customFormat="false" ht="15" hidden="false" customHeight="false" outlineLevel="0" collapsed="false">
      <c r="A6" s="2" t="s">
        <v>23</v>
      </c>
      <c r="B6" s="6" t="n">
        <f aca="false">SUM(Loans!$H$2:$H$401)</f>
        <v>79399400</v>
      </c>
    </row>
    <row r="7" customFormat="false" ht="15" hidden="false" customHeight="false" outlineLevel="0" collapsed="false">
      <c r="A7" s="2" t="s">
        <v>24</v>
      </c>
      <c r="B7" s="7" t="n">
        <f aca="false">SUM(Loans!$M$2:$M$401)/SUM(Loans!$H$2:$H$401)</f>
        <v>0.132713849223042</v>
      </c>
    </row>
    <row r="8" customFormat="false" ht="15" hidden="false" customHeight="false" outlineLevel="0" collapsed="false">
      <c r="A8" s="2" t="s">
        <v>25</v>
      </c>
      <c r="B8" s="7" t="n">
        <f aca="false">SUM(Loans!$N$2:$N$401)/SUM(Loans!$H$2:$H$401)</f>
        <v>0.0463693680304889</v>
      </c>
    </row>
    <row r="9" customFormat="false" ht="15" hidden="false" customHeight="false" outlineLevel="0" collapsed="false">
      <c r="A9" s="2" t="s">
        <v>26</v>
      </c>
      <c r="B9" s="6" t="n">
        <f aca="false">SUM(Loans!$L$2:$L$401)</f>
        <v>5363877</v>
      </c>
    </row>
    <row r="10" customFormat="false" ht="15" hidden="false" customHeight="false" outlineLevel="0" collapsed="false">
      <c r="A10" s="2" t="s">
        <v>27</v>
      </c>
      <c r="B10" s="7" t="n">
        <f aca="false">SUM(Loans!$L$2:$L$401)/SUM(Loans!$H$2:$H$401)</f>
        <v>0.0675556364405776</v>
      </c>
    </row>
    <row r="11" customFormat="false" ht="15" hidden="false" customHeight="false" outlineLevel="0" collapsed="false">
      <c r="A11" s="2" t="s">
        <v>28</v>
      </c>
      <c r="B11" s="7" t="n">
        <f aca="false">IF(SUM(Loans!$N$2:$N$401)=0,0,SUM(Loans!$L$2:$L$401)/SUM(Loans!$N$2:$N$401))</f>
        <v>1.45690224624494</v>
      </c>
    </row>
    <row r="12" customFormat="false" ht="15" hidden="false" customHeight="false" outlineLevel="0" collapsed="false">
      <c r="A12" s="2" t="s">
        <v>29</v>
      </c>
      <c r="B12" s="8" t="str">
        <f aca="false">IF(B7&lt;=Assumptions!$B$7,"Within target","Above target")</f>
        <v>Above target</v>
      </c>
    </row>
    <row r="14" customFormat="false" ht="15" hidden="false" customHeight="false" outlineLevel="0" collapsed="false">
      <c r="A14" s="5" t="s">
        <v>30</v>
      </c>
    </row>
    <row r="15" customFormat="false" ht="15" hidden="false" customHeight="false" outlineLevel="0" collapsed="false">
      <c r="A15" s="2" t="s">
        <v>31</v>
      </c>
      <c r="B15" s="9" t="str">
        <f aca="false">INDEX(A21:A26,MATCH(MAX(E21:E26),E21:E26,0))</f>
        <v>Sotik</v>
      </c>
    </row>
    <row r="16" customFormat="false" ht="15" hidden="false" customHeight="false" outlineLevel="0" collapsed="false">
      <c r="A16" s="2" t="s">
        <v>32</v>
      </c>
      <c r="B16" s="9" t="str">
        <f aca="false">INDEX(A31:A35,MATCH(MAX(E31:E35),E31:E35,0))</f>
        <v>Agribusiness Loan</v>
      </c>
    </row>
    <row r="17" customFormat="false" ht="15" hidden="false" customHeight="false" outlineLevel="0" collapsed="false">
      <c r="A17" s="2" t="s">
        <v>33</v>
      </c>
      <c r="B17" s="10" t="n">
        <f aca="false">SUMIFS(C40:C44,A40:A44,"31-90 days")/SUM(C40:C44)+SUMIFS(C40:C44,A40:A44,"91-180 days")/SUM(C40:C44)+SUMIFS(C40:C44,A40:A44,"180+ days")/SUM(C40:C44)</f>
        <v>0.132713849223042</v>
      </c>
    </row>
    <row r="19" customFormat="false" ht="15" hidden="false" customHeight="false" outlineLevel="0" collapsed="false">
      <c r="A19" s="5" t="s">
        <v>34</v>
      </c>
    </row>
    <row r="20" customFormat="false" ht="30" hidden="false" customHeight="true" outlineLevel="0" collapsed="false">
      <c r="A20" s="11" t="s">
        <v>35</v>
      </c>
      <c r="B20" s="11" t="s">
        <v>36</v>
      </c>
      <c r="C20" s="11" t="s">
        <v>37</v>
      </c>
      <c r="D20" s="11" t="s">
        <v>38</v>
      </c>
      <c r="E20" s="11" t="s">
        <v>39</v>
      </c>
      <c r="F20" s="11" t="s">
        <v>40</v>
      </c>
      <c r="G20" s="11" t="s">
        <v>41</v>
      </c>
      <c r="H20" s="11" t="s">
        <v>42</v>
      </c>
      <c r="I20" s="11" t="s">
        <v>43</v>
      </c>
    </row>
    <row r="21" customFormat="false" ht="15" hidden="false" customHeight="false" outlineLevel="0" collapsed="false">
      <c r="A21" s="12" t="s">
        <v>44</v>
      </c>
      <c r="B21" s="13" t="n">
        <f aca="false">COUNTIFS(Loans!$B$2:$B$401,$A21)</f>
        <v>102</v>
      </c>
      <c r="C21" s="13" t="n">
        <f aca="false">SUMIFS(Loans!$H$2:$H$401,Loans!$B$2:$B$401,$A21)</f>
        <v>19142400</v>
      </c>
      <c r="D21" s="13" t="n">
        <f aca="false">SUMIFS(Loans!$M$2:$M$401,Loans!$B$2:$B$401,$A21)</f>
        <v>3244900</v>
      </c>
      <c r="E21" s="14" t="n">
        <f aca="false">IF(C21=0,0,D21/C21)</f>
        <v>0.16951374958208</v>
      </c>
      <c r="F21" s="14" t="n">
        <f aca="false">IF(C21=0,0,SUMIFS(Loans!$N$2:$N$401,Loans!$B$2:$B$401,$A21)/C21)</f>
        <v>0.0545856318956871</v>
      </c>
      <c r="G21" s="13" t="n">
        <f aca="false">SUMIFS(Loans!$L$2:$L$401,Loans!$B$2:$B$401,$A21)</f>
        <v>1281145</v>
      </c>
      <c r="H21" s="14" t="n">
        <f aca="false">C21/SUM(C$21:C$26)</f>
        <v>0.241089983047731</v>
      </c>
      <c r="I21" s="15" t="str">
        <f aca="false">IF(E21&lt;=Assumptions!$B$7,"OK","Above target")</f>
        <v>Above target</v>
      </c>
    </row>
    <row r="22" customFormat="false" ht="15" hidden="false" customHeight="false" outlineLevel="0" collapsed="false">
      <c r="A22" s="12" t="s">
        <v>45</v>
      </c>
      <c r="B22" s="13" t="n">
        <f aca="false">COUNTIFS(Loans!$B$2:$B$401,$A22)</f>
        <v>56</v>
      </c>
      <c r="C22" s="13" t="n">
        <f aca="false">SUMIFS(Loans!$H$2:$H$401,Loans!$B$2:$B$401,$A22)</f>
        <v>11467300</v>
      </c>
      <c r="D22" s="13" t="n">
        <f aca="false">SUMIFS(Loans!$M$2:$M$401,Loans!$B$2:$B$401,$A22)</f>
        <v>1119200</v>
      </c>
      <c r="E22" s="14" t="n">
        <f aca="false">IF(C22=0,0,D22/C22)</f>
        <v>0.0975992605059604</v>
      </c>
      <c r="F22" s="14" t="n">
        <f aca="false">IF(C22=0,0,SUMIFS(Loans!$N$2:$N$401,Loans!$B$2:$B$401,$A22)/C22)</f>
        <v>0.0384571782372485</v>
      </c>
      <c r="G22" s="13" t="n">
        <f aca="false">SUMIFS(Loans!$L$2:$L$401,Loans!$B$2:$B$401,$A22)</f>
        <v>618655</v>
      </c>
      <c r="H22" s="14" t="n">
        <f aca="false">C22/SUM(C$21:C$26)</f>
        <v>0.144425524626131</v>
      </c>
      <c r="I22" s="15" t="str">
        <f aca="false">IF(E22&lt;=Assumptions!$B$7,"OK","Above target")</f>
        <v>Above target</v>
      </c>
    </row>
    <row r="23" customFormat="false" ht="15" hidden="false" customHeight="false" outlineLevel="0" collapsed="false">
      <c r="A23" s="12" t="s">
        <v>46</v>
      </c>
      <c r="B23" s="13" t="n">
        <f aca="false">COUNTIFS(Loans!$B$2:$B$401,$A23)</f>
        <v>58</v>
      </c>
      <c r="C23" s="13" t="n">
        <f aca="false">SUMIFS(Loans!$H$2:$H$401,Loans!$B$2:$B$401,$A23)</f>
        <v>11743200</v>
      </c>
      <c r="D23" s="13" t="n">
        <f aca="false">SUMIFS(Loans!$M$2:$M$401,Loans!$B$2:$B$401,$A23)</f>
        <v>2800100</v>
      </c>
      <c r="E23" s="14" t="n">
        <f aca="false">IF(C23=0,0,D23/C23)</f>
        <v>0.238444376319913</v>
      </c>
      <c r="F23" s="14" t="n">
        <f aca="false">IF(C23=0,0,SUMIFS(Loans!$N$2:$N$401,Loans!$B$2:$B$401,$A23)/C23)</f>
        <v>0.0928792833299271</v>
      </c>
      <c r="G23" s="13" t="n">
        <f aca="false">SUMIFS(Loans!$L$2:$L$401,Loans!$B$2:$B$401,$A23)</f>
        <v>1404137</v>
      </c>
      <c r="H23" s="14" t="n">
        <f aca="false">C23/SUM(C$21:C$26)</f>
        <v>0.147900361967471</v>
      </c>
      <c r="I23" s="15" t="str">
        <f aca="false">IF(E23&lt;=Assumptions!$B$7,"OK","Above target")</f>
        <v>Above target</v>
      </c>
    </row>
    <row r="24" customFormat="false" ht="15" hidden="false" customHeight="false" outlineLevel="0" collapsed="false">
      <c r="A24" s="12" t="s">
        <v>47</v>
      </c>
      <c r="B24" s="13" t="n">
        <f aca="false">COUNTIFS(Loans!$B$2:$B$401,$A24)</f>
        <v>63</v>
      </c>
      <c r="C24" s="13" t="n">
        <f aca="false">SUMIFS(Loans!$H$2:$H$401,Loans!$B$2:$B$401,$A24)</f>
        <v>11679500</v>
      </c>
      <c r="D24" s="13" t="n">
        <f aca="false">SUMIFS(Loans!$M$2:$M$401,Loans!$B$2:$B$401,$A24)</f>
        <v>1407700</v>
      </c>
      <c r="E24" s="14" t="n">
        <f aca="false">IF(C24=0,0,D24/C24)</f>
        <v>0.120527419838178</v>
      </c>
      <c r="F24" s="14" t="n">
        <f aca="false">IF(C24=0,0,SUMIFS(Loans!$N$2:$N$401,Loans!$B$2:$B$401,$A24)/C24)</f>
        <v>0.0585042167901023</v>
      </c>
      <c r="G24" s="13" t="n">
        <f aca="false">SUMIFS(Loans!$L$2:$L$401,Loans!$B$2:$B$401,$A24)</f>
        <v>997220</v>
      </c>
      <c r="H24" s="14" t="n">
        <f aca="false">C24/SUM(C$21:C$26)</f>
        <v>0.147098088902435</v>
      </c>
      <c r="I24" s="15" t="str">
        <f aca="false">IF(E24&lt;=Assumptions!$B$7,"OK","Above target")</f>
        <v>Above target</v>
      </c>
    </row>
    <row r="25" customFormat="false" ht="15" hidden="false" customHeight="false" outlineLevel="0" collapsed="false">
      <c r="A25" s="12" t="s">
        <v>48</v>
      </c>
      <c r="B25" s="13" t="n">
        <f aca="false">COUNTIFS(Loans!$B$2:$B$401,$A25)</f>
        <v>66</v>
      </c>
      <c r="C25" s="13" t="n">
        <f aca="false">SUMIFS(Loans!$H$2:$H$401,Loans!$B$2:$B$401,$A25)</f>
        <v>12745500</v>
      </c>
      <c r="D25" s="13" t="n">
        <f aca="false">SUMIFS(Loans!$M$2:$M$401,Loans!$B$2:$B$401,$A25)</f>
        <v>172100</v>
      </c>
      <c r="E25" s="14" t="n">
        <f aca="false">IF(C25=0,0,D25/C25)</f>
        <v>0.0135028049115374</v>
      </c>
      <c r="F25" s="14" t="n">
        <f aca="false">IF(C25=0,0,SUMIFS(Loans!$N$2:$N$401,Loans!$B$2:$B$401,$A25)/C25)</f>
        <v>0.00885018241732376</v>
      </c>
      <c r="G25" s="13" t="n">
        <f aca="false">SUMIFS(Loans!$L$2:$L$401,Loans!$B$2:$B$401,$A25)</f>
        <v>242371</v>
      </c>
      <c r="H25" s="14" t="n">
        <f aca="false">C25/SUM(C$21:C$26)</f>
        <v>0.160523883052013</v>
      </c>
      <c r="I25" s="15" t="str">
        <f aca="false">IF(E25&lt;=Assumptions!$B$7,"OK","Above target")</f>
        <v>OK</v>
      </c>
    </row>
    <row r="26" customFormat="false" ht="15" hidden="false" customHeight="false" outlineLevel="0" collapsed="false">
      <c r="A26" s="12" t="s">
        <v>49</v>
      </c>
      <c r="B26" s="13" t="n">
        <f aca="false">COUNTIFS(Loans!$B$2:$B$401,$A26)</f>
        <v>55</v>
      </c>
      <c r="C26" s="13" t="n">
        <f aca="false">SUMIFS(Loans!$H$2:$H$401,Loans!$B$2:$B$401,$A26)</f>
        <v>12621500</v>
      </c>
      <c r="D26" s="13" t="n">
        <f aca="false">SUMIFS(Loans!$M$2:$M$401,Loans!$B$2:$B$401,$A26)</f>
        <v>1793400</v>
      </c>
      <c r="E26" s="14" t="n">
        <f aca="false">IF(C26=0,0,D26/C26)</f>
        <v>0.142090876678683</v>
      </c>
      <c r="F26" s="14" t="n">
        <f aca="false">IF(C26=0,0,SUMIFS(Loans!$N$2:$N$401,Loans!$B$2:$B$401,$A26)/C26)</f>
        <v>0.02448203462346</v>
      </c>
      <c r="G26" s="13" t="n">
        <f aca="false">SUMIFS(Loans!$L$2:$L$401,Loans!$B$2:$B$401,$A26)</f>
        <v>820349</v>
      </c>
      <c r="H26" s="14" t="n">
        <f aca="false">C26/SUM(C$21:C$26)</f>
        <v>0.15896215840422</v>
      </c>
      <c r="I26" s="15" t="str">
        <f aca="false">IF(E26&lt;=Assumptions!$B$7,"OK","Above target")</f>
        <v>Above target</v>
      </c>
    </row>
    <row r="29" customFormat="false" ht="15" hidden="false" customHeight="false" outlineLevel="0" collapsed="false">
      <c r="A29" s="5" t="s">
        <v>50</v>
      </c>
    </row>
    <row r="30" customFormat="false" ht="30" hidden="false" customHeight="true" outlineLevel="0" collapsed="false">
      <c r="A30" s="11" t="s">
        <v>51</v>
      </c>
      <c r="B30" s="11" t="s">
        <v>36</v>
      </c>
      <c r="C30" s="11" t="s">
        <v>37</v>
      </c>
      <c r="D30" s="11" t="s">
        <v>38</v>
      </c>
      <c r="E30" s="11" t="s">
        <v>39</v>
      </c>
      <c r="F30" s="11" t="s">
        <v>40</v>
      </c>
      <c r="G30" s="11" t="s">
        <v>41</v>
      </c>
      <c r="H30" s="11" t="s">
        <v>42</v>
      </c>
      <c r="I30" s="11" t="s">
        <v>43</v>
      </c>
    </row>
    <row r="31" customFormat="false" ht="15" hidden="false" customHeight="false" outlineLevel="0" collapsed="false">
      <c r="A31" s="12" t="s">
        <v>52</v>
      </c>
      <c r="B31" s="13" t="n">
        <f aca="false">COUNTIFS(Loans!$C$2:$C$401,$A31)</f>
        <v>65</v>
      </c>
      <c r="C31" s="13" t="n">
        <f aca="false">SUMIFS(Loans!$H$2:$H$401,Loans!$C$2:$C$401,$A31)</f>
        <v>16262600</v>
      </c>
      <c r="D31" s="13" t="n">
        <f aca="false">SUMIFS(Loans!$M$2:$M$401,Loans!$C$2:$C$401,$A31)</f>
        <v>2678400</v>
      </c>
      <c r="E31" s="14" t="n">
        <f aca="false">IF(C31=0,0,D31/C31)</f>
        <v>0.164696911932901</v>
      </c>
      <c r="F31" s="14" t="n">
        <f aca="false">IF(C31=0,0,SUMIFS(Loans!$N$2:$N$401,Loans!$C$2:$C$401,$A31)/C31)</f>
        <v>0.045687651421052</v>
      </c>
      <c r="G31" s="13" t="n">
        <f aca="false">SUMIFS(Loans!$L$2:$L$401,Loans!$C$2:$C$401,$A31)</f>
        <v>1027084</v>
      </c>
      <c r="H31" s="14" t="n">
        <f aca="false">C31/SUM(C$31:C$35)</f>
        <v>0.204820187558092</v>
      </c>
      <c r="I31" s="15" t="str">
        <f aca="false">IF(E31&lt;=Assumptions!$B$7,"OK","Above target")</f>
        <v>Above target</v>
      </c>
    </row>
    <row r="32" customFormat="false" ht="15" hidden="false" customHeight="false" outlineLevel="0" collapsed="false">
      <c r="A32" s="12" t="s">
        <v>53</v>
      </c>
      <c r="B32" s="13" t="n">
        <f aca="false">COUNTIFS(Loans!$C$2:$C$401,$A32)</f>
        <v>82</v>
      </c>
      <c r="C32" s="13" t="n">
        <f aca="false">SUMIFS(Loans!$H$2:$H$401,Loans!$C$2:$C$401,$A32)</f>
        <v>3581800</v>
      </c>
      <c r="D32" s="13" t="n">
        <f aca="false">SUMIFS(Loans!$M$2:$M$401,Loans!$C$2:$C$401,$A32)</f>
        <v>679300</v>
      </c>
      <c r="E32" s="14" t="n">
        <f aca="false">IF(C32=0,0,D32/C32)</f>
        <v>0.189653246970797</v>
      </c>
      <c r="F32" s="14" t="n">
        <f aca="false">IF(C32=0,0,SUMIFS(Loans!$N$2:$N$401,Loans!$C$2:$C$401,$A32)/C32)</f>
        <v>0.0677033893573064</v>
      </c>
      <c r="G32" s="13" t="n">
        <f aca="false">SUMIFS(Loans!$L$2:$L$401,Loans!$C$2:$C$401,$A32)</f>
        <v>314441</v>
      </c>
      <c r="H32" s="14" t="n">
        <f aca="false">C32/SUM(C$31:C$35)</f>
        <v>0.0451111721247264</v>
      </c>
      <c r="I32" s="15" t="str">
        <f aca="false">IF(E32&lt;=Assumptions!$B$7,"OK","Above target")</f>
        <v>Above target</v>
      </c>
    </row>
    <row r="33" customFormat="false" ht="15" hidden="false" customHeight="false" outlineLevel="0" collapsed="false">
      <c r="A33" s="12" t="s">
        <v>54</v>
      </c>
      <c r="B33" s="13" t="n">
        <f aca="false">COUNTIFS(Loans!$C$2:$C$401,$A33)</f>
        <v>88</v>
      </c>
      <c r="C33" s="13" t="n">
        <f aca="false">SUMIFS(Loans!$H$2:$H$401,Loans!$C$2:$C$401,$A33)</f>
        <v>14641200</v>
      </c>
      <c r="D33" s="13" t="n">
        <f aca="false">SUMIFS(Loans!$M$2:$M$401,Loans!$C$2:$C$401,$A33)</f>
        <v>2873000</v>
      </c>
      <c r="E33" s="14" t="n">
        <f aca="false">IF(C33=0,0,D33/C33)</f>
        <v>0.196227085211595</v>
      </c>
      <c r="F33" s="14" t="n">
        <f aca="false">IF(C33=0,0,SUMIFS(Loans!$N$2:$N$401,Loans!$C$2:$C$401,$A33)/C33)</f>
        <v>0.0821995464852608</v>
      </c>
      <c r="G33" s="13" t="n">
        <f aca="false">SUMIFS(Loans!$L$2:$L$401,Loans!$C$2:$C$401,$A33)</f>
        <v>1629181</v>
      </c>
      <c r="H33" s="14" t="n">
        <f aca="false">C33/SUM(C$31:C$35)</f>
        <v>0.184399378332834</v>
      </c>
      <c r="I33" s="15" t="str">
        <f aca="false">IF(E33&lt;=Assumptions!$B$7,"OK","Above target")</f>
        <v>Above target</v>
      </c>
    </row>
    <row r="34" customFormat="false" ht="15" hidden="false" customHeight="false" outlineLevel="0" collapsed="false">
      <c r="A34" s="12" t="s">
        <v>55</v>
      </c>
      <c r="B34" s="13" t="n">
        <f aca="false">COUNTIFS(Loans!$C$2:$C$401,$A34)</f>
        <v>80</v>
      </c>
      <c r="C34" s="13" t="n">
        <f aca="false">SUMIFS(Loans!$H$2:$H$401,Loans!$C$2:$C$401,$A34)</f>
        <v>6205500</v>
      </c>
      <c r="D34" s="13" t="n">
        <f aca="false">SUMIFS(Loans!$M$2:$M$401,Loans!$C$2:$C$401,$A34)</f>
        <v>390200</v>
      </c>
      <c r="E34" s="14" t="n">
        <f aca="false">IF(C34=0,0,D34/C34)</f>
        <v>0.0628797034888406</v>
      </c>
      <c r="F34" s="14" t="n">
        <f aca="false">IF(C34=0,0,SUMIFS(Loans!$N$2:$N$401,Loans!$C$2:$C$401,$A34)/C34)</f>
        <v>0.0155184916606236</v>
      </c>
      <c r="G34" s="13" t="n">
        <f aca="false">SUMIFS(Loans!$L$2:$L$401,Loans!$C$2:$C$401,$A34)</f>
        <v>267556</v>
      </c>
      <c r="H34" s="14" t="n">
        <f aca="false">C34/SUM(C$31:C$35)</f>
        <v>0.0781555024345272</v>
      </c>
      <c r="I34" s="15" t="str">
        <f aca="false">IF(E34&lt;=Assumptions!$B$7,"OK","Above target")</f>
        <v>Above target</v>
      </c>
    </row>
    <row r="35" customFormat="false" ht="15" hidden="false" customHeight="false" outlineLevel="0" collapsed="false">
      <c r="A35" s="12" t="s">
        <v>56</v>
      </c>
      <c r="B35" s="13" t="n">
        <f aca="false">COUNTIFS(Loans!$C$2:$C$401,$A35)</f>
        <v>85</v>
      </c>
      <c r="C35" s="13" t="n">
        <f aca="false">SUMIFS(Loans!$H$2:$H$401,Loans!$C$2:$C$401,$A35)</f>
        <v>38708300</v>
      </c>
      <c r="D35" s="13" t="n">
        <f aca="false">SUMIFS(Loans!$M$2:$M$401,Loans!$C$2:$C$401,$A35)</f>
        <v>3916500</v>
      </c>
      <c r="E35" s="14" t="n">
        <f aca="false">IF(C35=0,0,D35/C35)</f>
        <v>0.10117985031634</v>
      </c>
      <c r="F35" s="14" t="n">
        <f aca="false">IF(C35=0,0,SUMIFS(Loans!$N$2:$N$401,Loans!$C$2:$C$401,$A35)/C35)</f>
        <v>0.0360749503336494</v>
      </c>
      <c r="G35" s="13" t="n">
        <f aca="false">SUMIFS(Loans!$L$2:$L$401,Loans!$C$2:$C$401,$A35)</f>
        <v>2125615</v>
      </c>
      <c r="H35" s="14" t="n">
        <f aca="false">C35/SUM(C$31:C$35)</f>
        <v>0.48751375954982</v>
      </c>
      <c r="I35" s="15" t="str">
        <f aca="false">IF(E35&lt;=Assumptions!$B$7,"OK","Above target")</f>
        <v>Above target</v>
      </c>
    </row>
    <row r="38" customFormat="false" ht="15" hidden="false" customHeight="false" outlineLevel="0" collapsed="false">
      <c r="A38" s="5" t="s">
        <v>57</v>
      </c>
    </row>
    <row r="39" customFormat="false" ht="30" hidden="false" customHeight="true" outlineLevel="0" collapsed="false">
      <c r="A39" s="11" t="s">
        <v>58</v>
      </c>
      <c r="B39" s="11" t="s">
        <v>36</v>
      </c>
      <c r="C39" s="11" t="s">
        <v>37</v>
      </c>
      <c r="D39" s="11" t="s">
        <v>42</v>
      </c>
      <c r="E39" s="11" t="s">
        <v>59</v>
      </c>
      <c r="F39" s="11" t="s">
        <v>41</v>
      </c>
    </row>
    <row r="40" customFormat="false" ht="15" hidden="false" customHeight="false" outlineLevel="0" collapsed="false">
      <c r="A40" s="12" t="s">
        <v>60</v>
      </c>
      <c r="B40" s="13" t="n">
        <f aca="false">COUNTIFS(Loans!$J$2:$J$401,$A40)</f>
        <v>309</v>
      </c>
      <c r="C40" s="13" t="n">
        <f aca="false">SUMIFS(Loans!$H$2:$H$401,Loans!$J$2:$J$401,$A40)</f>
        <v>62398700</v>
      </c>
      <c r="D40" s="14" t="n">
        <f aca="false">C40/SUM(C$40:C$44)</f>
        <v>0.785883772421454</v>
      </c>
      <c r="E40" s="14" t="n">
        <f aca="false">INDEX(Assumptions!$B$11:$B$15,MATCH($A40,Assumptions!$A$11:$A$15,0))</f>
        <v>0.01</v>
      </c>
      <c r="F40" s="13" t="n">
        <f aca="false">SUMIFS(Loans!$L$2:$L$401,Loans!$J$2:$J$401,$A40)</f>
        <v>623987</v>
      </c>
    </row>
    <row r="41" customFormat="false" ht="15" hidden="false" customHeight="false" outlineLevel="0" collapsed="false">
      <c r="A41" s="12" t="s">
        <v>61</v>
      </c>
      <c r="B41" s="13" t="n">
        <f aca="false">COUNTIFS(Loans!$J$2:$J$401,$A41)</f>
        <v>38</v>
      </c>
      <c r="C41" s="13" t="n">
        <f aca="false">SUMIFS(Loans!$H$2:$H$401,Loans!$J$2:$J$401,$A41)</f>
        <v>6463300</v>
      </c>
      <c r="D41" s="14" t="n">
        <f aca="false">C41/SUM(C$40:C$44)</f>
        <v>0.0814023783555039</v>
      </c>
      <c r="E41" s="14" t="n">
        <f aca="false">INDEX(Assumptions!$B$11:$B$15,MATCH($A41,Assumptions!$A$11:$A$15,0))</f>
        <v>0.05</v>
      </c>
      <c r="F41" s="13" t="n">
        <f aca="false">SUMIFS(Loans!$L$2:$L$401,Loans!$J$2:$J$401,$A41)</f>
        <v>323165</v>
      </c>
    </row>
    <row r="42" customFormat="false" ht="15" hidden="false" customHeight="false" outlineLevel="0" collapsed="false">
      <c r="A42" s="12" t="s">
        <v>62</v>
      </c>
      <c r="B42" s="13" t="n">
        <f aca="false">COUNTIFS(Loans!$J$2:$J$401,$A42)</f>
        <v>30</v>
      </c>
      <c r="C42" s="13" t="n">
        <f aca="false">SUMIFS(Loans!$H$2:$H$401,Loans!$J$2:$J$401,$A42)</f>
        <v>6855700</v>
      </c>
      <c r="D42" s="14" t="n">
        <f aca="false">C42/SUM(C$40:C$44)</f>
        <v>0.0863444811925531</v>
      </c>
      <c r="E42" s="14" t="n">
        <f aca="false">INDEX(Assumptions!$B$11:$B$15,MATCH($A42,Assumptions!$A$11:$A$15,0))</f>
        <v>0.25</v>
      </c>
      <c r="F42" s="13" t="n">
        <f aca="false">SUMIFS(Loans!$L$2:$L$401,Loans!$J$2:$J$401,$A42)</f>
        <v>1713925</v>
      </c>
    </row>
    <row r="43" customFormat="false" ht="15" hidden="false" customHeight="false" outlineLevel="0" collapsed="false">
      <c r="A43" s="12" t="s">
        <v>63</v>
      </c>
      <c r="B43" s="13" t="n">
        <f aca="false">COUNTIFS(Loans!$J$2:$J$401,$A43)</f>
        <v>12</v>
      </c>
      <c r="C43" s="13" t="n">
        <f aca="false">SUMIFS(Loans!$H$2:$H$401,Loans!$J$2:$J$401,$A43)</f>
        <v>1957800</v>
      </c>
      <c r="D43" s="14" t="n">
        <f aca="false">C43/SUM(C$40:C$44)</f>
        <v>0.0246576170600785</v>
      </c>
      <c r="E43" s="14" t="n">
        <f aca="false">INDEX(Assumptions!$B$11:$B$15,MATCH($A43,Assumptions!$A$11:$A$15,0))</f>
        <v>0.5</v>
      </c>
      <c r="F43" s="13" t="n">
        <f aca="false">SUMIFS(Loans!$L$2:$L$401,Loans!$J$2:$J$401,$A43)</f>
        <v>978900</v>
      </c>
    </row>
    <row r="44" customFormat="false" ht="15" hidden="false" customHeight="false" outlineLevel="0" collapsed="false">
      <c r="A44" s="12" t="s">
        <v>64</v>
      </c>
      <c r="B44" s="13" t="n">
        <f aca="false">COUNTIFS(Loans!$J$2:$J$401,$A44)</f>
        <v>11</v>
      </c>
      <c r="C44" s="13" t="n">
        <f aca="false">SUMIFS(Loans!$H$2:$H$401,Loans!$J$2:$J$401,$A44)</f>
        <v>1723900</v>
      </c>
      <c r="D44" s="14" t="n">
        <f aca="false">C44/SUM(C$40:C$44)</f>
        <v>0.0217117509704104</v>
      </c>
      <c r="E44" s="14" t="n">
        <f aca="false">INDEX(Assumptions!$B$11:$B$15,MATCH($A44,Assumptions!$A$11:$A$15,0))</f>
        <v>1</v>
      </c>
      <c r="F44" s="13" t="n">
        <f aca="false">SUMIFS(Loans!$L$2:$L$401,Loans!$J$2:$J$401,$A44)</f>
        <v>1723900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6" t="s">
        <v>65</v>
      </c>
    </row>
    <row r="4" customFormat="false" ht="15" hidden="false" customHeight="false" outlineLevel="0" collapsed="false">
      <c r="A4" s="17" t="s">
        <v>66</v>
      </c>
      <c r="B4" s="17" t="s">
        <v>67</v>
      </c>
      <c r="C4" s="17" t="s">
        <v>68</v>
      </c>
    </row>
    <row r="5" customFormat="false" ht="15" hidden="false" customHeight="false" outlineLevel="0" collapsed="false">
      <c r="A5" s="12" t="s">
        <v>69</v>
      </c>
      <c r="B5" s="18" t="n">
        <v>30</v>
      </c>
      <c r="C5" s="4" t="s">
        <v>70</v>
      </c>
    </row>
    <row r="6" customFormat="false" ht="15" hidden="false" customHeight="false" outlineLevel="0" collapsed="false">
      <c r="A6" s="12" t="s">
        <v>71</v>
      </c>
      <c r="B6" s="18" t="n">
        <v>90</v>
      </c>
      <c r="C6" s="4" t="s">
        <v>72</v>
      </c>
    </row>
    <row r="7" customFormat="false" ht="15" hidden="false" customHeight="false" outlineLevel="0" collapsed="false">
      <c r="A7" s="12" t="s">
        <v>73</v>
      </c>
      <c r="B7" s="19" t="n">
        <v>0.05</v>
      </c>
      <c r="C7" s="4" t="s">
        <v>74</v>
      </c>
    </row>
    <row r="9" customFormat="false" ht="15" hidden="false" customHeight="false" outlineLevel="0" collapsed="false">
      <c r="A9" s="2" t="s">
        <v>75</v>
      </c>
    </row>
    <row r="10" customFormat="false" ht="15" hidden="false" customHeight="false" outlineLevel="0" collapsed="false">
      <c r="A10" s="17" t="s">
        <v>58</v>
      </c>
      <c r="B10" s="17" t="s">
        <v>59</v>
      </c>
      <c r="C10" s="17" t="s">
        <v>68</v>
      </c>
    </row>
    <row r="11" customFormat="false" ht="15" hidden="false" customHeight="false" outlineLevel="0" collapsed="false">
      <c r="A11" s="12" t="s">
        <v>60</v>
      </c>
      <c r="B11" s="19" t="n">
        <v>0.01</v>
      </c>
      <c r="C11" s="4" t="s">
        <v>76</v>
      </c>
    </row>
    <row r="12" customFormat="false" ht="15" hidden="false" customHeight="false" outlineLevel="0" collapsed="false">
      <c r="A12" s="12" t="s">
        <v>61</v>
      </c>
      <c r="B12" s="19" t="n">
        <v>0.05</v>
      </c>
      <c r="C12" s="4" t="s">
        <v>76</v>
      </c>
    </row>
    <row r="13" customFormat="false" ht="15" hidden="false" customHeight="false" outlineLevel="0" collapsed="false">
      <c r="A13" s="12" t="s">
        <v>62</v>
      </c>
      <c r="B13" s="19" t="n">
        <v>0.25</v>
      </c>
      <c r="C13" s="4" t="s">
        <v>76</v>
      </c>
    </row>
    <row r="14" customFormat="false" ht="15" hidden="false" customHeight="false" outlineLevel="0" collapsed="false">
      <c r="A14" s="12" t="s">
        <v>63</v>
      </c>
      <c r="B14" s="19" t="n">
        <v>0.5</v>
      </c>
      <c r="C14" s="4" t="s">
        <v>76</v>
      </c>
    </row>
    <row r="15" customFormat="false" ht="15" hidden="false" customHeight="false" outlineLevel="0" collapsed="false">
      <c r="A15" s="12" t="s">
        <v>64</v>
      </c>
      <c r="B15" s="19" t="n">
        <v>1</v>
      </c>
      <c r="C15" s="4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9"/>
    <col collapsed="false" customWidth="true" hidden="false" outlineLevel="0" max="4" min="4" style="0" width="13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12" min="9" style="0" width="14"/>
    <col collapsed="false" customWidth="true" hidden="false" outlineLevel="0" max="14" min="13" style="0" width="15"/>
  </cols>
  <sheetData>
    <row r="1" customFormat="false" ht="31.5" hidden="false" customHeight="true" outlineLevel="0" collapsed="false">
      <c r="A1" s="20" t="s">
        <v>77</v>
      </c>
      <c r="B1" s="20" t="s">
        <v>35</v>
      </c>
      <c r="C1" s="20" t="s">
        <v>51</v>
      </c>
      <c r="D1" s="20" t="s">
        <v>78</v>
      </c>
      <c r="E1" s="20" t="s">
        <v>79</v>
      </c>
      <c r="F1" s="20" t="s">
        <v>80</v>
      </c>
      <c r="G1" s="20" t="s">
        <v>81</v>
      </c>
      <c r="H1" s="20" t="s">
        <v>82</v>
      </c>
      <c r="I1" s="20" t="s">
        <v>83</v>
      </c>
      <c r="J1" s="21" t="s">
        <v>84</v>
      </c>
      <c r="K1" s="21" t="s">
        <v>59</v>
      </c>
      <c r="L1" s="21" t="s">
        <v>41</v>
      </c>
      <c r="M1" s="21" t="s">
        <v>38</v>
      </c>
      <c r="N1" s="21" t="s">
        <v>85</v>
      </c>
    </row>
    <row r="2" customFormat="false" ht="15" hidden="false" customHeight="false" outlineLevel="0" collapsed="false">
      <c r="A2" s="22" t="s">
        <v>86</v>
      </c>
      <c r="B2" s="22" t="s">
        <v>46</v>
      </c>
      <c r="C2" s="22" t="s">
        <v>56</v>
      </c>
      <c r="D2" s="23" t="n">
        <v>45486</v>
      </c>
      <c r="E2" s="24" t="n">
        <v>1153000</v>
      </c>
      <c r="F2" s="25" t="n">
        <v>0.16</v>
      </c>
      <c r="G2" s="22" t="n">
        <v>48</v>
      </c>
      <c r="H2" s="24" t="n">
        <v>621300</v>
      </c>
      <c r="I2" s="22" t="n">
        <v>0</v>
      </c>
      <c r="J2" s="12" t="str">
        <f aca="false">IF(I2&lt;=0,"Current",IF(I2&lt;=30,"01-30 days",IF(I2&lt;=90,"31-90 days",IF(I2&lt;=180,"91-180 days","180+ days"))))</f>
        <v>Current</v>
      </c>
      <c r="K2" s="14" t="n">
        <f aca="false">INDEX(Assumptions!$B$11:$B$15,MATCH(J2,Assumptions!$A$11:$A$15,0))</f>
        <v>0.01</v>
      </c>
      <c r="L2" s="13" t="n">
        <f aca="false">H2*K2</f>
        <v>6213</v>
      </c>
      <c r="M2" s="13" t="n">
        <f aca="false">IF(I2&gt;Assumptions!$B$5,H2,0)</f>
        <v>0</v>
      </c>
      <c r="N2" s="13" t="n">
        <f aca="false">IF(I2&gt;Assumptions!$B$6,H2,0)</f>
        <v>0</v>
      </c>
    </row>
    <row r="3" customFormat="false" ht="15" hidden="false" customHeight="false" outlineLevel="0" collapsed="false">
      <c r="A3" s="22" t="s">
        <v>87</v>
      </c>
      <c r="B3" s="22" t="s">
        <v>44</v>
      </c>
      <c r="C3" s="22" t="s">
        <v>56</v>
      </c>
      <c r="D3" s="23" t="n">
        <v>45388</v>
      </c>
      <c r="E3" s="24" t="n">
        <v>1174000</v>
      </c>
      <c r="F3" s="25" t="n">
        <v>0.16</v>
      </c>
      <c r="G3" s="22" t="n">
        <v>48</v>
      </c>
      <c r="H3" s="24" t="n">
        <v>789400</v>
      </c>
      <c r="I3" s="22" t="n">
        <v>0</v>
      </c>
      <c r="J3" s="12" t="str">
        <f aca="false">IF(I3&lt;=0,"Current",IF(I3&lt;=30,"01-30 days",IF(I3&lt;=90,"31-90 days",IF(I3&lt;=180,"91-180 days","180+ days"))))</f>
        <v>Current</v>
      </c>
      <c r="K3" s="14" t="n">
        <f aca="false">INDEX(Assumptions!$B$11:$B$15,MATCH(J3,Assumptions!$A$11:$A$15,0))</f>
        <v>0.01</v>
      </c>
      <c r="L3" s="13" t="n">
        <f aca="false">H3*K3</f>
        <v>7894</v>
      </c>
      <c r="M3" s="13" t="n">
        <f aca="false">IF(I3&gt;Assumptions!$B$5,H3,0)</f>
        <v>0</v>
      </c>
      <c r="N3" s="13" t="n">
        <f aca="false">IF(I3&gt;Assumptions!$B$6,H3,0)</f>
        <v>0</v>
      </c>
    </row>
    <row r="4" customFormat="false" ht="15" hidden="false" customHeight="false" outlineLevel="0" collapsed="false">
      <c r="A4" s="22" t="s">
        <v>88</v>
      </c>
      <c r="B4" s="22" t="s">
        <v>46</v>
      </c>
      <c r="C4" s="22" t="s">
        <v>53</v>
      </c>
      <c r="D4" s="23" t="n">
        <v>45941</v>
      </c>
      <c r="E4" s="24" t="n">
        <v>43000</v>
      </c>
      <c r="F4" s="25" t="n">
        <v>0.18</v>
      </c>
      <c r="G4" s="22" t="n">
        <v>6</v>
      </c>
      <c r="H4" s="24" t="n">
        <v>26000</v>
      </c>
      <c r="I4" s="22" t="n">
        <v>0</v>
      </c>
      <c r="J4" s="12" t="str">
        <f aca="false">IF(I4&lt;=0,"Current",IF(I4&lt;=30,"01-30 days",IF(I4&lt;=90,"31-90 days",IF(I4&lt;=180,"91-180 days","180+ days"))))</f>
        <v>Current</v>
      </c>
      <c r="K4" s="14" t="n">
        <f aca="false">INDEX(Assumptions!$B$11:$B$15,MATCH(J4,Assumptions!$A$11:$A$15,0))</f>
        <v>0.01</v>
      </c>
      <c r="L4" s="13" t="n">
        <f aca="false">H4*K4</f>
        <v>260</v>
      </c>
      <c r="M4" s="13" t="n">
        <f aca="false">IF(I4&gt;Assumptions!$B$5,H4,0)</f>
        <v>0</v>
      </c>
      <c r="N4" s="13" t="n">
        <f aca="false">IF(I4&gt;Assumptions!$B$6,H4,0)</f>
        <v>0</v>
      </c>
    </row>
    <row r="5" customFormat="false" ht="15" hidden="false" customHeight="false" outlineLevel="0" collapsed="false">
      <c r="A5" s="22" t="s">
        <v>89</v>
      </c>
      <c r="B5" s="22" t="s">
        <v>44</v>
      </c>
      <c r="C5" s="22" t="s">
        <v>55</v>
      </c>
      <c r="D5" s="23" t="n">
        <v>45453</v>
      </c>
      <c r="E5" s="24" t="n">
        <v>145000</v>
      </c>
      <c r="F5" s="25" t="n">
        <v>0.12</v>
      </c>
      <c r="G5" s="22" t="n">
        <v>12</v>
      </c>
      <c r="H5" s="24" t="n">
        <v>100100</v>
      </c>
      <c r="I5" s="22" t="n">
        <v>0</v>
      </c>
      <c r="J5" s="12" t="str">
        <f aca="false">IF(I5&lt;=0,"Current",IF(I5&lt;=30,"01-30 days",IF(I5&lt;=90,"31-90 days",IF(I5&lt;=180,"91-180 days","180+ days"))))</f>
        <v>Current</v>
      </c>
      <c r="K5" s="14" t="n">
        <f aca="false">INDEX(Assumptions!$B$11:$B$15,MATCH(J5,Assumptions!$A$11:$A$15,0))</f>
        <v>0.01</v>
      </c>
      <c r="L5" s="13" t="n">
        <f aca="false">H5*K5</f>
        <v>1001</v>
      </c>
      <c r="M5" s="13" t="n">
        <f aca="false">IF(I5&gt;Assumptions!$B$5,H5,0)</f>
        <v>0</v>
      </c>
      <c r="N5" s="13" t="n">
        <f aca="false">IF(I5&gt;Assumptions!$B$6,H5,0)</f>
        <v>0</v>
      </c>
    </row>
    <row r="6" customFormat="false" ht="15" hidden="false" customHeight="false" outlineLevel="0" collapsed="false">
      <c r="A6" s="22" t="s">
        <v>90</v>
      </c>
      <c r="B6" s="22" t="s">
        <v>47</v>
      </c>
      <c r="C6" s="22" t="s">
        <v>56</v>
      </c>
      <c r="D6" s="23" t="n">
        <v>45539</v>
      </c>
      <c r="E6" s="24" t="n">
        <v>329000</v>
      </c>
      <c r="F6" s="25" t="n">
        <v>0.16</v>
      </c>
      <c r="G6" s="22" t="n">
        <v>48</v>
      </c>
      <c r="H6" s="24" t="n">
        <v>80500</v>
      </c>
      <c r="I6" s="22" t="n">
        <v>0</v>
      </c>
      <c r="J6" s="12" t="str">
        <f aca="false">IF(I6&lt;=0,"Current",IF(I6&lt;=30,"01-30 days",IF(I6&lt;=90,"31-90 days",IF(I6&lt;=180,"91-180 days","180+ days"))))</f>
        <v>Current</v>
      </c>
      <c r="K6" s="14" t="n">
        <f aca="false">INDEX(Assumptions!$B$11:$B$15,MATCH(J6,Assumptions!$A$11:$A$15,0))</f>
        <v>0.01</v>
      </c>
      <c r="L6" s="13" t="n">
        <f aca="false">H6*K6</f>
        <v>805</v>
      </c>
      <c r="M6" s="13" t="n">
        <f aca="false">IF(I6&gt;Assumptions!$B$5,H6,0)</f>
        <v>0</v>
      </c>
      <c r="N6" s="13" t="n">
        <f aca="false">IF(I6&gt;Assumptions!$B$6,H6,0)</f>
        <v>0</v>
      </c>
    </row>
    <row r="7" customFormat="false" ht="15" hidden="false" customHeight="false" outlineLevel="0" collapsed="false">
      <c r="A7" s="22" t="s">
        <v>91</v>
      </c>
      <c r="B7" s="22" t="s">
        <v>47</v>
      </c>
      <c r="C7" s="22" t="s">
        <v>55</v>
      </c>
      <c r="D7" s="23" t="n">
        <v>45823</v>
      </c>
      <c r="E7" s="24" t="n">
        <v>113000</v>
      </c>
      <c r="F7" s="25" t="n">
        <v>0.12</v>
      </c>
      <c r="G7" s="22" t="n">
        <v>12</v>
      </c>
      <c r="H7" s="24" t="n">
        <v>59900</v>
      </c>
      <c r="I7" s="22" t="n">
        <v>0</v>
      </c>
      <c r="J7" s="12" t="str">
        <f aca="false">IF(I7&lt;=0,"Current",IF(I7&lt;=30,"01-30 days",IF(I7&lt;=90,"31-90 days",IF(I7&lt;=180,"91-180 days","180+ days"))))</f>
        <v>Current</v>
      </c>
      <c r="K7" s="14" t="n">
        <f aca="false">INDEX(Assumptions!$B$11:$B$15,MATCH(J7,Assumptions!$A$11:$A$15,0))</f>
        <v>0.01</v>
      </c>
      <c r="L7" s="13" t="n">
        <f aca="false">H7*K7</f>
        <v>599</v>
      </c>
      <c r="M7" s="13" t="n">
        <f aca="false">IF(I7&gt;Assumptions!$B$5,H7,0)</f>
        <v>0</v>
      </c>
      <c r="N7" s="13" t="n">
        <f aca="false">IF(I7&gt;Assumptions!$B$6,H7,0)</f>
        <v>0</v>
      </c>
    </row>
    <row r="8" customFormat="false" ht="15" hidden="false" customHeight="false" outlineLevel="0" collapsed="false">
      <c r="A8" s="22" t="s">
        <v>92</v>
      </c>
      <c r="B8" s="22" t="s">
        <v>45</v>
      </c>
      <c r="C8" s="22" t="s">
        <v>54</v>
      </c>
      <c r="D8" s="23" t="n">
        <v>46152</v>
      </c>
      <c r="E8" s="24" t="n">
        <v>305000</v>
      </c>
      <c r="F8" s="25" t="n">
        <v>0.15</v>
      </c>
      <c r="G8" s="22" t="n">
        <v>24</v>
      </c>
      <c r="H8" s="24" t="n">
        <v>62100</v>
      </c>
      <c r="I8" s="22" t="n">
        <v>322</v>
      </c>
      <c r="J8" s="12" t="str">
        <f aca="false">IF(I8&lt;=0,"Current",IF(I8&lt;=30,"01-30 days",IF(I8&lt;=90,"31-90 days",IF(I8&lt;=180,"91-180 days","180+ days"))))</f>
        <v>180+ days</v>
      </c>
      <c r="K8" s="14" t="n">
        <f aca="false">INDEX(Assumptions!$B$11:$B$15,MATCH(J8,Assumptions!$A$11:$A$15,0))</f>
        <v>1</v>
      </c>
      <c r="L8" s="13" t="n">
        <f aca="false">H8*K8</f>
        <v>62100</v>
      </c>
      <c r="M8" s="13" t="n">
        <f aca="false">IF(I8&gt;Assumptions!$B$5,H8,0)</f>
        <v>62100</v>
      </c>
      <c r="N8" s="13" t="n">
        <f aca="false">IF(I8&gt;Assumptions!$B$6,H8,0)</f>
        <v>62100</v>
      </c>
    </row>
    <row r="9" customFormat="false" ht="15" hidden="false" customHeight="false" outlineLevel="0" collapsed="false">
      <c r="A9" s="22" t="s">
        <v>93</v>
      </c>
      <c r="B9" s="22" t="s">
        <v>44</v>
      </c>
      <c r="C9" s="22" t="s">
        <v>54</v>
      </c>
      <c r="D9" s="23" t="n">
        <v>45322</v>
      </c>
      <c r="E9" s="24" t="n">
        <v>211000</v>
      </c>
      <c r="F9" s="25" t="n">
        <v>0.15</v>
      </c>
      <c r="G9" s="22" t="n">
        <v>24</v>
      </c>
      <c r="H9" s="24" t="n">
        <v>162200</v>
      </c>
      <c r="I9" s="22" t="n">
        <v>0</v>
      </c>
      <c r="J9" s="12" t="str">
        <f aca="false">IF(I9&lt;=0,"Current",IF(I9&lt;=30,"01-30 days",IF(I9&lt;=90,"31-90 days",IF(I9&lt;=180,"91-180 days","180+ days"))))</f>
        <v>Current</v>
      </c>
      <c r="K9" s="14" t="n">
        <f aca="false">INDEX(Assumptions!$B$11:$B$15,MATCH(J9,Assumptions!$A$11:$A$15,0))</f>
        <v>0.01</v>
      </c>
      <c r="L9" s="13" t="n">
        <f aca="false">H9*K9</f>
        <v>1622</v>
      </c>
      <c r="M9" s="13" t="n">
        <f aca="false">IF(I9&gt;Assumptions!$B$5,H9,0)</f>
        <v>0</v>
      </c>
      <c r="N9" s="13" t="n">
        <f aca="false">IF(I9&gt;Assumptions!$B$6,H9,0)</f>
        <v>0</v>
      </c>
    </row>
    <row r="10" customFormat="false" ht="15" hidden="false" customHeight="false" outlineLevel="0" collapsed="false">
      <c r="A10" s="22" t="s">
        <v>94</v>
      </c>
      <c r="B10" s="22" t="s">
        <v>44</v>
      </c>
      <c r="C10" s="22" t="s">
        <v>52</v>
      </c>
      <c r="D10" s="23" t="n">
        <v>45360</v>
      </c>
      <c r="E10" s="24" t="n">
        <v>510000</v>
      </c>
      <c r="F10" s="25" t="n">
        <v>0.14</v>
      </c>
      <c r="G10" s="22" t="n">
        <v>36</v>
      </c>
      <c r="H10" s="24" t="n">
        <v>143200</v>
      </c>
      <c r="I10" s="22" t="n">
        <v>0</v>
      </c>
      <c r="J10" s="12" t="str">
        <f aca="false">IF(I10&lt;=0,"Current",IF(I10&lt;=30,"01-30 days",IF(I10&lt;=90,"31-90 days",IF(I10&lt;=180,"91-180 days","180+ days"))))</f>
        <v>Current</v>
      </c>
      <c r="K10" s="14" t="n">
        <f aca="false">INDEX(Assumptions!$B$11:$B$15,MATCH(J10,Assumptions!$A$11:$A$15,0))</f>
        <v>0.01</v>
      </c>
      <c r="L10" s="13" t="n">
        <f aca="false">H10*K10</f>
        <v>1432</v>
      </c>
      <c r="M10" s="13" t="n">
        <f aca="false">IF(I10&gt;Assumptions!$B$5,H10,0)</f>
        <v>0</v>
      </c>
      <c r="N10" s="13" t="n">
        <f aca="false">IF(I10&gt;Assumptions!$B$6,H10,0)</f>
        <v>0</v>
      </c>
    </row>
    <row r="11" customFormat="false" ht="15" hidden="false" customHeight="false" outlineLevel="0" collapsed="false">
      <c r="A11" s="22" t="s">
        <v>95</v>
      </c>
      <c r="B11" s="22" t="s">
        <v>49</v>
      </c>
      <c r="C11" s="22" t="s">
        <v>52</v>
      </c>
      <c r="D11" s="23" t="n">
        <v>45773</v>
      </c>
      <c r="E11" s="24" t="n">
        <v>318000</v>
      </c>
      <c r="F11" s="25" t="n">
        <v>0.14</v>
      </c>
      <c r="G11" s="22" t="n">
        <v>36</v>
      </c>
      <c r="H11" s="24" t="n">
        <v>113600</v>
      </c>
      <c r="I11" s="22" t="n">
        <v>0</v>
      </c>
      <c r="J11" s="12" t="str">
        <f aca="false">IF(I11&lt;=0,"Current",IF(I11&lt;=30,"01-30 days",IF(I11&lt;=90,"31-90 days",IF(I11&lt;=180,"91-180 days","180+ days"))))</f>
        <v>Current</v>
      </c>
      <c r="K11" s="14" t="n">
        <f aca="false">INDEX(Assumptions!$B$11:$B$15,MATCH(J11,Assumptions!$A$11:$A$15,0))</f>
        <v>0.01</v>
      </c>
      <c r="L11" s="13" t="n">
        <f aca="false">H11*K11</f>
        <v>1136</v>
      </c>
      <c r="M11" s="13" t="n">
        <f aca="false">IF(I11&gt;Assumptions!$B$5,H11,0)</f>
        <v>0</v>
      </c>
      <c r="N11" s="13" t="n">
        <f aca="false">IF(I11&gt;Assumptions!$B$6,H11,0)</f>
        <v>0</v>
      </c>
    </row>
    <row r="12" customFormat="false" ht="15" hidden="false" customHeight="false" outlineLevel="0" collapsed="false">
      <c r="A12" s="22" t="s">
        <v>96</v>
      </c>
      <c r="B12" s="22" t="s">
        <v>45</v>
      </c>
      <c r="C12" s="22" t="s">
        <v>55</v>
      </c>
      <c r="D12" s="23" t="n">
        <v>46089</v>
      </c>
      <c r="E12" s="24" t="n">
        <v>137000</v>
      </c>
      <c r="F12" s="25" t="n">
        <v>0.12</v>
      </c>
      <c r="G12" s="22" t="n">
        <v>12</v>
      </c>
      <c r="H12" s="24" t="n">
        <v>34900</v>
      </c>
      <c r="I12" s="22" t="n">
        <v>0</v>
      </c>
      <c r="J12" s="12" t="str">
        <f aca="false">IF(I12&lt;=0,"Current",IF(I12&lt;=30,"01-30 days",IF(I12&lt;=90,"31-90 days",IF(I12&lt;=180,"91-180 days","180+ days"))))</f>
        <v>Current</v>
      </c>
      <c r="K12" s="14" t="n">
        <f aca="false">INDEX(Assumptions!$B$11:$B$15,MATCH(J12,Assumptions!$A$11:$A$15,0))</f>
        <v>0.01</v>
      </c>
      <c r="L12" s="13" t="n">
        <f aca="false">H12*K12</f>
        <v>349</v>
      </c>
      <c r="M12" s="13" t="n">
        <f aca="false">IF(I12&gt;Assumptions!$B$5,H12,0)</f>
        <v>0</v>
      </c>
      <c r="N12" s="13" t="n">
        <f aca="false">IF(I12&gt;Assumptions!$B$6,H12,0)</f>
        <v>0</v>
      </c>
    </row>
    <row r="13" customFormat="false" ht="15" hidden="false" customHeight="false" outlineLevel="0" collapsed="false">
      <c r="A13" s="22" t="s">
        <v>97</v>
      </c>
      <c r="B13" s="22" t="s">
        <v>47</v>
      </c>
      <c r="C13" s="22" t="s">
        <v>54</v>
      </c>
      <c r="D13" s="23" t="n">
        <v>45395</v>
      </c>
      <c r="E13" s="24" t="n">
        <v>94000</v>
      </c>
      <c r="F13" s="25" t="n">
        <v>0.15</v>
      </c>
      <c r="G13" s="22" t="n">
        <v>24</v>
      </c>
      <c r="H13" s="24" t="n">
        <v>40700</v>
      </c>
      <c r="I13" s="22" t="n">
        <v>14</v>
      </c>
      <c r="J13" s="12" t="str">
        <f aca="false">IF(I13&lt;=0,"Current",IF(I13&lt;=30,"01-30 days",IF(I13&lt;=90,"31-90 days",IF(I13&lt;=180,"91-180 days","180+ days"))))</f>
        <v>01-30 days</v>
      </c>
      <c r="K13" s="14" t="n">
        <f aca="false">INDEX(Assumptions!$B$11:$B$15,MATCH(J13,Assumptions!$A$11:$A$15,0))</f>
        <v>0.05</v>
      </c>
      <c r="L13" s="13" t="n">
        <f aca="false">H13*K13</f>
        <v>2035</v>
      </c>
      <c r="M13" s="13" t="n">
        <f aca="false">IF(I13&gt;Assumptions!$B$5,H13,0)</f>
        <v>0</v>
      </c>
      <c r="N13" s="13" t="n">
        <f aca="false">IF(I13&gt;Assumptions!$B$6,H13,0)</f>
        <v>0</v>
      </c>
    </row>
    <row r="14" customFormat="false" ht="15" hidden="false" customHeight="false" outlineLevel="0" collapsed="false">
      <c r="A14" s="22" t="s">
        <v>98</v>
      </c>
      <c r="B14" s="22" t="s">
        <v>44</v>
      </c>
      <c r="C14" s="22" t="s">
        <v>55</v>
      </c>
      <c r="D14" s="23" t="n">
        <v>45484</v>
      </c>
      <c r="E14" s="24" t="n">
        <v>234000</v>
      </c>
      <c r="F14" s="25" t="n">
        <v>0.12</v>
      </c>
      <c r="G14" s="22" t="n">
        <v>12</v>
      </c>
      <c r="H14" s="24" t="n">
        <v>132200</v>
      </c>
      <c r="I14" s="22" t="n">
        <v>0</v>
      </c>
      <c r="J14" s="12" t="str">
        <f aca="false">IF(I14&lt;=0,"Current",IF(I14&lt;=30,"01-30 days",IF(I14&lt;=90,"31-90 days",IF(I14&lt;=180,"91-180 days","180+ days"))))</f>
        <v>Current</v>
      </c>
      <c r="K14" s="14" t="n">
        <f aca="false">INDEX(Assumptions!$B$11:$B$15,MATCH(J14,Assumptions!$A$11:$A$15,0))</f>
        <v>0.01</v>
      </c>
      <c r="L14" s="13" t="n">
        <f aca="false">H14*K14</f>
        <v>1322</v>
      </c>
      <c r="M14" s="13" t="n">
        <f aca="false">IF(I14&gt;Assumptions!$B$5,H14,0)</f>
        <v>0</v>
      </c>
      <c r="N14" s="13" t="n">
        <f aca="false">IF(I14&gt;Assumptions!$B$6,H14,0)</f>
        <v>0</v>
      </c>
    </row>
    <row r="15" customFormat="false" ht="15" hidden="false" customHeight="false" outlineLevel="0" collapsed="false">
      <c r="A15" s="22" t="s">
        <v>99</v>
      </c>
      <c r="B15" s="22" t="s">
        <v>46</v>
      </c>
      <c r="C15" s="22" t="s">
        <v>53</v>
      </c>
      <c r="D15" s="23" t="n">
        <v>45696</v>
      </c>
      <c r="E15" s="24" t="n">
        <v>53000</v>
      </c>
      <c r="F15" s="25" t="n">
        <v>0.18</v>
      </c>
      <c r="G15" s="22" t="n">
        <v>6</v>
      </c>
      <c r="H15" s="24" t="n">
        <v>27300</v>
      </c>
      <c r="I15" s="22" t="n">
        <v>0</v>
      </c>
      <c r="J15" s="12" t="str">
        <f aca="false">IF(I15&lt;=0,"Current",IF(I15&lt;=30,"01-30 days",IF(I15&lt;=90,"31-90 days",IF(I15&lt;=180,"91-180 days","180+ days"))))</f>
        <v>Current</v>
      </c>
      <c r="K15" s="14" t="n">
        <f aca="false">INDEX(Assumptions!$B$11:$B$15,MATCH(J15,Assumptions!$A$11:$A$15,0))</f>
        <v>0.01</v>
      </c>
      <c r="L15" s="13" t="n">
        <f aca="false">H15*K15</f>
        <v>273</v>
      </c>
      <c r="M15" s="13" t="n">
        <f aca="false">IF(I15&gt;Assumptions!$B$5,H15,0)</f>
        <v>0</v>
      </c>
      <c r="N15" s="13" t="n">
        <f aca="false">IF(I15&gt;Assumptions!$B$6,H15,0)</f>
        <v>0</v>
      </c>
    </row>
    <row r="16" customFormat="false" ht="15" hidden="false" customHeight="false" outlineLevel="0" collapsed="false">
      <c r="A16" s="22" t="s">
        <v>100</v>
      </c>
      <c r="B16" s="22" t="s">
        <v>46</v>
      </c>
      <c r="C16" s="22" t="s">
        <v>53</v>
      </c>
      <c r="D16" s="23" t="n">
        <v>46114</v>
      </c>
      <c r="E16" s="24" t="n">
        <v>20000</v>
      </c>
      <c r="F16" s="25" t="n">
        <v>0.18</v>
      </c>
      <c r="G16" s="22" t="n">
        <v>6</v>
      </c>
      <c r="H16" s="24" t="n">
        <v>8000</v>
      </c>
      <c r="I16" s="22" t="n">
        <v>0</v>
      </c>
      <c r="J16" s="12" t="str">
        <f aca="false">IF(I16&lt;=0,"Current",IF(I16&lt;=30,"01-30 days",IF(I16&lt;=90,"31-90 days",IF(I16&lt;=180,"91-180 days","180+ days"))))</f>
        <v>Current</v>
      </c>
      <c r="K16" s="14" t="n">
        <f aca="false">INDEX(Assumptions!$B$11:$B$15,MATCH(J16,Assumptions!$A$11:$A$15,0))</f>
        <v>0.01</v>
      </c>
      <c r="L16" s="13" t="n">
        <f aca="false">H16*K16</f>
        <v>80</v>
      </c>
      <c r="M16" s="13" t="n">
        <f aca="false">IF(I16&gt;Assumptions!$B$5,H16,0)</f>
        <v>0</v>
      </c>
      <c r="N16" s="13" t="n">
        <f aca="false">IF(I16&gt;Assumptions!$B$6,H16,0)</f>
        <v>0</v>
      </c>
    </row>
    <row r="17" customFormat="false" ht="15" hidden="false" customHeight="false" outlineLevel="0" collapsed="false">
      <c r="A17" s="22" t="s">
        <v>101</v>
      </c>
      <c r="B17" s="22" t="s">
        <v>47</v>
      </c>
      <c r="C17" s="22" t="s">
        <v>52</v>
      </c>
      <c r="D17" s="23" t="n">
        <v>45908</v>
      </c>
      <c r="E17" s="24" t="n">
        <v>315000</v>
      </c>
      <c r="F17" s="25" t="n">
        <v>0.14</v>
      </c>
      <c r="G17" s="22" t="n">
        <v>36</v>
      </c>
      <c r="H17" s="24" t="n">
        <v>107300</v>
      </c>
      <c r="I17" s="22" t="n">
        <v>0</v>
      </c>
      <c r="J17" s="12" t="str">
        <f aca="false">IF(I17&lt;=0,"Current",IF(I17&lt;=30,"01-30 days",IF(I17&lt;=90,"31-90 days",IF(I17&lt;=180,"91-180 days","180+ days"))))</f>
        <v>Current</v>
      </c>
      <c r="K17" s="14" t="n">
        <f aca="false">INDEX(Assumptions!$B$11:$B$15,MATCH(J17,Assumptions!$A$11:$A$15,0))</f>
        <v>0.01</v>
      </c>
      <c r="L17" s="13" t="n">
        <f aca="false">H17*K17</f>
        <v>1073</v>
      </c>
      <c r="M17" s="13" t="n">
        <f aca="false">IF(I17&gt;Assumptions!$B$5,H17,0)</f>
        <v>0</v>
      </c>
      <c r="N17" s="13" t="n">
        <f aca="false">IF(I17&gt;Assumptions!$B$6,H17,0)</f>
        <v>0</v>
      </c>
    </row>
    <row r="18" customFormat="false" ht="15" hidden="false" customHeight="false" outlineLevel="0" collapsed="false">
      <c r="A18" s="22" t="s">
        <v>102</v>
      </c>
      <c r="B18" s="22" t="s">
        <v>47</v>
      </c>
      <c r="C18" s="22" t="s">
        <v>52</v>
      </c>
      <c r="D18" s="23" t="n">
        <v>45556</v>
      </c>
      <c r="E18" s="24" t="n">
        <v>143000</v>
      </c>
      <c r="F18" s="25" t="n">
        <v>0.14</v>
      </c>
      <c r="G18" s="22" t="n">
        <v>36</v>
      </c>
      <c r="H18" s="24" t="n">
        <v>134700</v>
      </c>
      <c r="I18" s="22" t="n">
        <v>0</v>
      </c>
      <c r="J18" s="12" t="str">
        <f aca="false">IF(I18&lt;=0,"Current",IF(I18&lt;=30,"01-30 days",IF(I18&lt;=90,"31-90 days",IF(I18&lt;=180,"91-180 days","180+ days"))))</f>
        <v>Current</v>
      </c>
      <c r="K18" s="14" t="n">
        <f aca="false">INDEX(Assumptions!$B$11:$B$15,MATCH(J18,Assumptions!$A$11:$A$15,0))</f>
        <v>0.01</v>
      </c>
      <c r="L18" s="13" t="n">
        <f aca="false">H18*K18</f>
        <v>1347</v>
      </c>
      <c r="M18" s="13" t="n">
        <f aca="false">IF(I18&gt;Assumptions!$B$5,H18,0)</f>
        <v>0</v>
      </c>
      <c r="N18" s="13" t="n">
        <f aca="false">IF(I18&gt;Assumptions!$B$6,H18,0)</f>
        <v>0</v>
      </c>
    </row>
    <row r="19" customFormat="false" ht="15" hidden="false" customHeight="false" outlineLevel="0" collapsed="false">
      <c r="A19" s="22" t="s">
        <v>103</v>
      </c>
      <c r="B19" s="22" t="s">
        <v>44</v>
      </c>
      <c r="C19" s="22" t="s">
        <v>56</v>
      </c>
      <c r="D19" s="23" t="n">
        <v>45368</v>
      </c>
      <c r="E19" s="24" t="n">
        <v>873000</v>
      </c>
      <c r="F19" s="25" t="n">
        <v>0.16</v>
      </c>
      <c r="G19" s="22" t="n">
        <v>48</v>
      </c>
      <c r="H19" s="24" t="n">
        <v>718200</v>
      </c>
      <c r="I19" s="22" t="n">
        <v>0</v>
      </c>
      <c r="J19" s="12" t="str">
        <f aca="false">IF(I19&lt;=0,"Current",IF(I19&lt;=30,"01-30 days",IF(I19&lt;=90,"31-90 days",IF(I19&lt;=180,"91-180 days","180+ days"))))</f>
        <v>Current</v>
      </c>
      <c r="K19" s="14" t="n">
        <f aca="false">INDEX(Assumptions!$B$11:$B$15,MATCH(J19,Assumptions!$A$11:$A$15,0))</f>
        <v>0.01</v>
      </c>
      <c r="L19" s="13" t="n">
        <f aca="false">H19*K19</f>
        <v>7182</v>
      </c>
      <c r="M19" s="13" t="n">
        <f aca="false">IF(I19&gt;Assumptions!$B$5,H19,0)</f>
        <v>0</v>
      </c>
      <c r="N19" s="13" t="n">
        <f aca="false">IF(I19&gt;Assumptions!$B$6,H19,0)</f>
        <v>0</v>
      </c>
    </row>
    <row r="20" customFormat="false" ht="15" hidden="false" customHeight="false" outlineLevel="0" collapsed="false">
      <c r="A20" s="22" t="s">
        <v>104</v>
      </c>
      <c r="B20" s="22" t="s">
        <v>44</v>
      </c>
      <c r="C20" s="22" t="s">
        <v>56</v>
      </c>
      <c r="D20" s="23" t="n">
        <v>45929</v>
      </c>
      <c r="E20" s="24" t="n">
        <v>697000</v>
      </c>
      <c r="F20" s="25" t="n">
        <v>0.16</v>
      </c>
      <c r="G20" s="22" t="n">
        <v>48</v>
      </c>
      <c r="H20" s="24" t="n">
        <v>147500</v>
      </c>
      <c r="I20" s="22" t="n">
        <v>0</v>
      </c>
      <c r="J20" s="12" t="str">
        <f aca="false">IF(I20&lt;=0,"Current",IF(I20&lt;=30,"01-30 days",IF(I20&lt;=90,"31-90 days",IF(I20&lt;=180,"91-180 days","180+ days"))))</f>
        <v>Current</v>
      </c>
      <c r="K20" s="14" t="n">
        <f aca="false">INDEX(Assumptions!$B$11:$B$15,MATCH(J20,Assumptions!$A$11:$A$15,0))</f>
        <v>0.01</v>
      </c>
      <c r="L20" s="13" t="n">
        <f aca="false">H20*K20</f>
        <v>1475</v>
      </c>
      <c r="M20" s="13" t="n">
        <f aca="false">IF(I20&gt;Assumptions!$B$5,H20,0)</f>
        <v>0</v>
      </c>
      <c r="N20" s="13" t="n">
        <f aca="false">IF(I20&gt;Assumptions!$B$6,H20,0)</f>
        <v>0</v>
      </c>
    </row>
    <row r="21" customFormat="false" ht="15" hidden="false" customHeight="false" outlineLevel="0" collapsed="false">
      <c r="A21" s="22" t="s">
        <v>105</v>
      </c>
      <c r="B21" s="22" t="s">
        <v>46</v>
      </c>
      <c r="C21" s="22" t="s">
        <v>56</v>
      </c>
      <c r="D21" s="23" t="n">
        <v>45525</v>
      </c>
      <c r="E21" s="24" t="n">
        <v>1190000</v>
      </c>
      <c r="F21" s="25" t="n">
        <v>0.16</v>
      </c>
      <c r="G21" s="22" t="n">
        <v>48</v>
      </c>
      <c r="H21" s="24" t="n">
        <v>980900</v>
      </c>
      <c r="I21" s="22" t="n">
        <v>13</v>
      </c>
      <c r="J21" s="12" t="str">
        <f aca="false">IF(I21&lt;=0,"Current",IF(I21&lt;=30,"01-30 days",IF(I21&lt;=90,"31-90 days",IF(I21&lt;=180,"91-180 days","180+ days"))))</f>
        <v>01-30 days</v>
      </c>
      <c r="K21" s="14" t="n">
        <f aca="false">INDEX(Assumptions!$B$11:$B$15,MATCH(J21,Assumptions!$A$11:$A$15,0))</f>
        <v>0.05</v>
      </c>
      <c r="L21" s="13" t="n">
        <f aca="false">H21*K21</f>
        <v>49045</v>
      </c>
      <c r="M21" s="13" t="n">
        <f aca="false">IF(I21&gt;Assumptions!$B$5,H21,0)</f>
        <v>0</v>
      </c>
      <c r="N21" s="13" t="n">
        <f aca="false">IF(I21&gt;Assumptions!$B$6,H21,0)</f>
        <v>0</v>
      </c>
    </row>
    <row r="22" customFormat="false" ht="15" hidden="false" customHeight="false" outlineLevel="0" collapsed="false">
      <c r="A22" s="22" t="s">
        <v>106</v>
      </c>
      <c r="B22" s="22" t="s">
        <v>48</v>
      </c>
      <c r="C22" s="22" t="s">
        <v>53</v>
      </c>
      <c r="D22" s="23" t="n">
        <v>45859</v>
      </c>
      <c r="E22" s="24" t="n">
        <v>68000</v>
      </c>
      <c r="F22" s="25" t="n">
        <v>0.18</v>
      </c>
      <c r="G22" s="22" t="n">
        <v>6</v>
      </c>
      <c r="H22" s="24" t="n">
        <v>21700</v>
      </c>
      <c r="I22" s="22" t="n">
        <v>0</v>
      </c>
      <c r="J22" s="12" t="str">
        <f aca="false">IF(I22&lt;=0,"Current",IF(I22&lt;=30,"01-30 days",IF(I22&lt;=90,"31-90 days",IF(I22&lt;=180,"91-180 days","180+ days"))))</f>
        <v>Current</v>
      </c>
      <c r="K22" s="14" t="n">
        <f aca="false">INDEX(Assumptions!$B$11:$B$15,MATCH(J22,Assumptions!$A$11:$A$15,0))</f>
        <v>0.01</v>
      </c>
      <c r="L22" s="13" t="n">
        <f aca="false">H22*K22</f>
        <v>217</v>
      </c>
      <c r="M22" s="13" t="n">
        <f aca="false">IF(I22&gt;Assumptions!$B$5,H22,0)</f>
        <v>0</v>
      </c>
      <c r="N22" s="13" t="n">
        <f aca="false">IF(I22&gt;Assumptions!$B$6,H22,0)</f>
        <v>0</v>
      </c>
    </row>
    <row r="23" customFormat="false" ht="15" hidden="false" customHeight="false" outlineLevel="0" collapsed="false">
      <c r="A23" s="22" t="s">
        <v>107</v>
      </c>
      <c r="B23" s="22" t="s">
        <v>44</v>
      </c>
      <c r="C23" s="22" t="s">
        <v>55</v>
      </c>
      <c r="D23" s="23" t="n">
        <v>45398</v>
      </c>
      <c r="E23" s="24" t="n">
        <v>153000</v>
      </c>
      <c r="F23" s="25" t="n">
        <v>0.12</v>
      </c>
      <c r="G23" s="22" t="n">
        <v>12</v>
      </c>
      <c r="H23" s="24" t="n">
        <v>99900</v>
      </c>
      <c r="I23" s="22" t="n">
        <v>0</v>
      </c>
      <c r="J23" s="12" t="str">
        <f aca="false">IF(I23&lt;=0,"Current",IF(I23&lt;=30,"01-30 days",IF(I23&lt;=90,"31-90 days",IF(I23&lt;=180,"91-180 days","180+ days"))))</f>
        <v>Current</v>
      </c>
      <c r="K23" s="14" t="n">
        <f aca="false">INDEX(Assumptions!$B$11:$B$15,MATCH(J23,Assumptions!$A$11:$A$15,0))</f>
        <v>0.01</v>
      </c>
      <c r="L23" s="13" t="n">
        <f aca="false">H23*K23</f>
        <v>999</v>
      </c>
      <c r="M23" s="13" t="n">
        <f aca="false">IF(I23&gt;Assumptions!$B$5,H23,0)</f>
        <v>0</v>
      </c>
      <c r="N23" s="13" t="n">
        <f aca="false">IF(I23&gt;Assumptions!$B$6,H23,0)</f>
        <v>0</v>
      </c>
    </row>
    <row r="24" customFormat="false" ht="15" hidden="false" customHeight="false" outlineLevel="0" collapsed="false">
      <c r="A24" s="22" t="s">
        <v>108</v>
      </c>
      <c r="B24" s="22" t="s">
        <v>44</v>
      </c>
      <c r="C24" s="22" t="s">
        <v>56</v>
      </c>
      <c r="D24" s="23" t="n">
        <v>45555</v>
      </c>
      <c r="E24" s="24" t="n">
        <v>722000</v>
      </c>
      <c r="F24" s="25" t="n">
        <v>0.16</v>
      </c>
      <c r="G24" s="22" t="n">
        <v>48</v>
      </c>
      <c r="H24" s="24" t="n">
        <v>273500</v>
      </c>
      <c r="I24" s="22" t="n">
        <v>0</v>
      </c>
      <c r="J24" s="12" t="str">
        <f aca="false">IF(I24&lt;=0,"Current",IF(I24&lt;=30,"01-30 days",IF(I24&lt;=90,"31-90 days",IF(I24&lt;=180,"91-180 days","180+ days"))))</f>
        <v>Current</v>
      </c>
      <c r="K24" s="14" t="n">
        <f aca="false">INDEX(Assumptions!$B$11:$B$15,MATCH(J24,Assumptions!$A$11:$A$15,0))</f>
        <v>0.01</v>
      </c>
      <c r="L24" s="13" t="n">
        <f aca="false">H24*K24</f>
        <v>2735</v>
      </c>
      <c r="M24" s="13" t="n">
        <f aca="false">IF(I24&gt;Assumptions!$B$5,H24,0)</f>
        <v>0</v>
      </c>
      <c r="N24" s="13" t="n">
        <f aca="false">IF(I24&gt;Assumptions!$B$6,H24,0)</f>
        <v>0</v>
      </c>
    </row>
    <row r="25" customFormat="false" ht="15" hidden="false" customHeight="false" outlineLevel="0" collapsed="false">
      <c r="A25" s="22" t="s">
        <v>109</v>
      </c>
      <c r="B25" s="22" t="s">
        <v>46</v>
      </c>
      <c r="C25" s="22" t="s">
        <v>56</v>
      </c>
      <c r="D25" s="23" t="n">
        <v>45961</v>
      </c>
      <c r="E25" s="24" t="n">
        <v>1205000</v>
      </c>
      <c r="F25" s="25" t="n">
        <v>0.16</v>
      </c>
      <c r="G25" s="22" t="n">
        <v>48</v>
      </c>
      <c r="H25" s="24" t="n">
        <v>506200</v>
      </c>
      <c r="I25" s="22" t="n">
        <v>35</v>
      </c>
      <c r="J25" s="12" t="str">
        <f aca="false">IF(I25&lt;=0,"Current",IF(I25&lt;=30,"01-30 days",IF(I25&lt;=90,"31-90 days",IF(I25&lt;=180,"91-180 days","180+ days"))))</f>
        <v>31-90 days</v>
      </c>
      <c r="K25" s="14" t="n">
        <f aca="false">INDEX(Assumptions!$B$11:$B$15,MATCH(J25,Assumptions!$A$11:$A$15,0))</f>
        <v>0.25</v>
      </c>
      <c r="L25" s="13" t="n">
        <f aca="false">H25*K25</f>
        <v>126550</v>
      </c>
      <c r="M25" s="13" t="n">
        <f aca="false">IF(I25&gt;Assumptions!$B$5,H25,0)</f>
        <v>506200</v>
      </c>
      <c r="N25" s="13" t="n">
        <f aca="false">IF(I25&gt;Assumptions!$B$6,H25,0)</f>
        <v>0</v>
      </c>
    </row>
    <row r="26" customFormat="false" ht="15" hidden="false" customHeight="false" outlineLevel="0" collapsed="false">
      <c r="A26" s="22" t="s">
        <v>110</v>
      </c>
      <c r="B26" s="22" t="s">
        <v>48</v>
      </c>
      <c r="C26" s="22" t="s">
        <v>56</v>
      </c>
      <c r="D26" s="23" t="n">
        <v>45500</v>
      </c>
      <c r="E26" s="24" t="n">
        <v>351000</v>
      </c>
      <c r="F26" s="25" t="n">
        <v>0.16</v>
      </c>
      <c r="G26" s="22" t="n">
        <v>48</v>
      </c>
      <c r="H26" s="24" t="n">
        <v>144000</v>
      </c>
      <c r="I26" s="22" t="n">
        <v>0</v>
      </c>
      <c r="J26" s="12" t="str">
        <f aca="false">IF(I26&lt;=0,"Current",IF(I26&lt;=30,"01-30 days",IF(I26&lt;=90,"31-90 days",IF(I26&lt;=180,"91-180 days","180+ days"))))</f>
        <v>Current</v>
      </c>
      <c r="K26" s="14" t="n">
        <f aca="false">INDEX(Assumptions!$B$11:$B$15,MATCH(J26,Assumptions!$A$11:$A$15,0))</f>
        <v>0.01</v>
      </c>
      <c r="L26" s="13" t="n">
        <f aca="false">H26*K26</f>
        <v>1440</v>
      </c>
      <c r="M26" s="13" t="n">
        <f aca="false">IF(I26&gt;Assumptions!$B$5,H26,0)</f>
        <v>0</v>
      </c>
      <c r="N26" s="13" t="n">
        <f aca="false">IF(I26&gt;Assumptions!$B$6,H26,0)</f>
        <v>0</v>
      </c>
    </row>
    <row r="27" customFormat="false" ht="15" hidden="false" customHeight="false" outlineLevel="0" collapsed="false">
      <c r="A27" s="22" t="s">
        <v>111</v>
      </c>
      <c r="B27" s="22" t="s">
        <v>48</v>
      </c>
      <c r="C27" s="22" t="s">
        <v>52</v>
      </c>
      <c r="D27" s="23" t="n">
        <v>45339</v>
      </c>
      <c r="E27" s="24" t="n">
        <v>375000</v>
      </c>
      <c r="F27" s="25" t="n">
        <v>0.14</v>
      </c>
      <c r="G27" s="22" t="n">
        <v>36</v>
      </c>
      <c r="H27" s="24" t="n">
        <v>190700</v>
      </c>
      <c r="I27" s="22" t="n">
        <v>0</v>
      </c>
      <c r="J27" s="12" t="str">
        <f aca="false">IF(I27&lt;=0,"Current",IF(I27&lt;=30,"01-30 days",IF(I27&lt;=90,"31-90 days",IF(I27&lt;=180,"91-180 days","180+ days"))))</f>
        <v>Current</v>
      </c>
      <c r="K27" s="14" t="n">
        <f aca="false">INDEX(Assumptions!$B$11:$B$15,MATCH(J27,Assumptions!$A$11:$A$15,0))</f>
        <v>0.01</v>
      </c>
      <c r="L27" s="13" t="n">
        <f aca="false">H27*K27</f>
        <v>1907</v>
      </c>
      <c r="M27" s="13" t="n">
        <f aca="false">IF(I27&gt;Assumptions!$B$5,H27,0)</f>
        <v>0</v>
      </c>
      <c r="N27" s="13" t="n">
        <f aca="false">IF(I27&gt;Assumptions!$B$6,H27,0)</f>
        <v>0</v>
      </c>
    </row>
    <row r="28" customFormat="false" ht="15" hidden="false" customHeight="false" outlineLevel="0" collapsed="false">
      <c r="A28" s="22" t="s">
        <v>112</v>
      </c>
      <c r="B28" s="22" t="s">
        <v>44</v>
      </c>
      <c r="C28" s="22" t="s">
        <v>54</v>
      </c>
      <c r="D28" s="23" t="n">
        <v>45999</v>
      </c>
      <c r="E28" s="24" t="n">
        <v>321000</v>
      </c>
      <c r="F28" s="25" t="n">
        <v>0.15</v>
      </c>
      <c r="G28" s="22" t="n">
        <v>24</v>
      </c>
      <c r="H28" s="24" t="n">
        <v>201900</v>
      </c>
      <c r="I28" s="22" t="n">
        <v>39</v>
      </c>
      <c r="J28" s="12" t="str">
        <f aca="false">IF(I28&lt;=0,"Current",IF(I28&lt;=30,"01-30 days",IF(I28&lt;=90,"31-90 days",IF(I28&lt;=180,"91-180 days","180+ days"))))</f>
        <v>31-90 days</v>
      </c>
      <c r="K28" s="14" t="n">
        <f aca="false">INDEX(Assumptions!$B$11:$B$15,MATCH(J28,Assumptions!$A$11:$A$15,0))</f>
        <v>0.25</v>
      </c>
      <c r="L28" s="13" t="n">
        <f aca="false">H28*K28</f>
        <v>50475</v>
      </c>
      <c r="M28" s="13" t="n">
        <f aca="false">IF(I28&gt;Assumptions!$B$5,H28,0)</f>
        <v>201900</v>
      </c>
      <c r="N28" s="13" t="n">
        <f aca="false">IF(I28&gt;Assumptions!$B$6,H28,0)</f>
        <v>0</v>
      </c>
    </row>
    <row r="29" customFormat="false" ht="15" hidden="false" customHeight="false" outlineLevel="0" collapsed="false">
      <c r="A29" s="22" t="s">
        <v>113</v>
      </c>
      <c r="B29" s="22" t="s">
        <v>46</v>
      </c>
      <c r="C29" s="22" t="s">
        <v>53</v>
      </c>
      <c r="D29" s="23" t="n">
        <v>45658</v>
      </c>
      <c r="E29" s="24" t="n">
        <v>28000</v>
      </c>
      <c r="F29" s="25" t="n">
        <v>0.18</v>
      </c>
      <c r="G29" s="22" t="n">
        <v>6</v>
      </c>
      <c r="H29" s="24" t="n">
        <v>25000</v>
      </c>
      <c r="I29" s="22" t="n">
        <v>0</v>
      </c>
      <c r="J29" s="12" t="str">
        <f aca="false">IF(I29&lt;=0,"Current",IF(I29&lt;=30,"01-30 days",IF(I29&lt;=90,"31-90 days",IF(I29&lt;=180,"91-180 days","180+ days"))))</f>
        <v>Current</v>
      </c>
      <c r="K29" s="14" t="n">
        <f aca="false">INDEX(Assumptions!$B$11:$B$15,MATCH(J29,Assumptions!$A$11:$A$15,0))</f>
        <v>0.01</v>
      </c>
      <c r="L29" s="13" t="n">
        <f aca="false">H29*K29</f>
        <v>250</v>
      </c>
      <c r="M29" s="13" t="n">
        <f aca="false">IF(I29&gt;Assumptions!$B$5,H29,0)</f>
        <v>0</v>
      </c>
      <c r="N29" s="13" t="n">
        <f aca="false">IF(I29&gt;Assumptions!$B$6,H29,0)</f>
        <v>0</v>
      </c>
    </row>
    <row r="30" customFormat="false" ht="15" hidden="false" customHeight="false" outlineLevel="0" collapsed="false">
      <c r="A30" s="22" t="s">
        <v>114</v>
      </c>
      <c r="B30" s="22" t="s">
        <v>48</v>
      </c>
      <c r="C30" s="22" t="s">
        <v>52</v>
      </c>
      <c r="D30" s="23" t="n">
        <v>45366</v>
      </c>
      <c r="E30" s="24" t="n">
        <v>121000</v>
      </c>
      <c r="F30" s="25" t="n">
        <v>0.14</v>
      </c>
      <c r="G30" s="22" t="n">
        <v>36</v>
      </c>
      <c r="H30" s="24" t="n">
        <v>78500</v>
      </c>
      <c r="I30" s="22" t="n">
        <v>3</v>
      </c>
      <c r="J30" s="12" t="str">
        <f aca="false">IF(I30&lt;=0,"Current",IF(I30&lt;=30,"01-30 days",IF(I30&lt;=90,"31-90 days",IF(I30&lt;=180,"91-180 days","180+ days"))))</f>
        <v>01-30 days</v>
      </c>
      <c r="K30" s="14" t="n">
        <f aca="false">INDEX(Assumptions!$B$11:$B$15,MATCH(J30,Assumptions!$A$11:$A$15,0))</f>
        <v>0.05</v>
      </c>
      <c r="L30" s="13" t="n">
        <f aca="false">H30*K30</f>
        <v>3925</v>
      </c>
      <c r="M30" s="13" t="n">
        <f aca="false">IF(I30&gt;Assumptions!$B$5,H30,0)</f>
        <v>0</v>
      </c>
      <c r="N30" s="13" t="n">
        <f aca="false">IF(I30&gt;Assumptions!$B$6,H30,0)</f>
        <v>0</v>
      </c>
    </row>
    <row r="31" customFormat="false" ht="15" hidden="false" customHeight="false" outlineLevel="0" collapsed="false">
      <c r="A31" s="22" t="s">
        <v>115</v>
      </c>
      <c r="B31" s="22" t="s">
        <v>44</v>
      </c>
      <c r="C31" s="22" t="s">
        <v>56</v>
      </c>
      <c r="D31" s="23" t="n">
        <v>46046</v>
      </c>
      <c r="E31" s="24" t="n">
        <v>953000</v>
      </c>
      <c r="F31" s="25" t="n">
        <v>0.16</v>
      </c>
      <c r="G31" s="22" t="n">
        <v>48</v>
      </c>
      <c r="H31" s="24" t="n">
        <v>717400</v>
      </c>
      <c r="I31" s="22" t="n">
        <v>0</v>
      </c>
      <c r="J31" s="12" t="str">
        <f aca="false">IF(I31&lt;=0,"Current",IF(I31&lt;=30,"01-30 days",IF(I31&lt;=90,"31-90 days",IF(I31&lt;=180,"91-180 days","180+ days"))))</f>
        <v>Current</v>
      </c>
      <c r="K31" s="14" t="n">
        <f aca="false">INDEX(Assumptions!$B$11:$B$15,MATCH(J31,Assumptions!$A$11:$A$15,0))</f>
        <v>0.01</v>
      </c>
      <c r="L31" s="13" t="n">
        <f aca="false">H31*K31</f>
        <v>7174</v>
      </c>
      <c r="M31" s="13" t="n">
        <f aca="false">IF(I31&gt;Assumptions!$B$5,H31,0)</f>
        <v>0</v>
      </c>
      <c r="N31" s="13" t="n">
        <f aca="false">IF(I31&gt;Assumptions!$B$6,H31,0)</f>
        <v>0</v>
      </c>
    </row>
    <row r="32" customFormat="false" ht="15" hidden="false" customHeight="false" outlineLevel="0" collapsed="false">
      <c r="A32" s="22" t="s">
        <v>116</v>
      </c>
      <c r="B32" s="22" t="s">
        <v>48</v>
      </c>
      <c r="C32" s="22" t="s">
        <v>53</v>
      </c>
      <c r="D32" s="23" t="n">
        <v>45371</v>
      </c>
      <c r="E32" s="24" t="n">
        <v>107000</v>
      </c>
      <c r="F32" s="25" t="n">
        <v>0.18</v>
      </c>
      <c r="G32" s="22" t="n">
        <v>6</v>
      </c>
      <c r="H32" s="24" t="n">
        <v>49600</v>
      </c>
      <c r="I32" s="22" t="n">
        <v>0</v>
      </c>
      <c r="J32" s="12" t="str">
        <f aca="false">IF(I32&lt;=0,"Current",IF(I32&lt;=30,"01-30 days",IF(I32&lt;=90,"31-90 days",IF(I32&lt;=180,"91-180 days","180+ days"))))</f>
        <v>Current</v>
      </c>
      <c r="K32" s="14" t="n">
        <f aca="false">INDEX(Assumptions!$B$11:$B$15,MATCH(J32,Assumptions!$A$11:$A$15,0))</f>
        <v>0.01</v>
      </c>
      <c r="L32" s="13" t="n">
        <f aca="false">H32*K32</f>
        <v>496</v>
      </c>
      <c r="M32" s="13" t="n">
        <f aca="false">IF(I32&gt;Assumptions!$B$5,H32,0)</f>
        <v>0</v>
      </c>
      <c r="N32" s="13" t="n">
        <f aca="false">IF(I32&gt;Assumptions!$B$6,H32,0)</f>
        <v>0</v>
      </c>
    </row>
    <row r="33" customFormat="false" ht="15" hidden="false" customHeight="false" outlineLevel="0" collapsed="false">
      <c r="A33" s="22" t="s">
        <v>117</v>
      </c>
      <c r="B33" s="22" t="s">
        <v>48</v>
      </c>
      <c r="C33" s="22" t="s">
        <v>55</v>
      </c>
      <c r="D33" s="23" t="n">
        <v>45306</v>
      </c>
      <c r="E33" s="24" t="n">
        <v>232000</v>
      </c>
      <c r="F33" s="25" t="n">
        <v>0.12</v>
      </c>
      <c r="G33" s="22" t="n">
        <v>12</v>
      </c>
      <c r="H33" s="24" t="n">
        <v>51700</v>
      </c>
      <c r="I33" s="22" t="n">
        <v>0</v>
      </c>
      <c r="J33" s="12" t="str">
        <f aca="false">IF(I33&lt;=0,"Current",IF(I33&lt;=30,"01-30 days",IF(I33&lt;=90,"31-90 days",IF(I33&lt;=180,"91-180 days","180+ days"))))</f>
        <v>Current</v>
      </c>
      <c r="K33" s="14" t="n">
        <f aca="false">INDEX(Assumptions!$B$11:$B$15,MATCH(J33,Assumptions!$A$11:$A$15,0))</f>
        <v>0.01</v>
      </c>
      <c r="L33" s="13" t="n">
        <f aca="false">H33*K33</f>
        <v>517</v>
      </c>
      <c r="M33" s="13" t="n">
        <f aca="false">IF(I33&gt;Assumptions!$B$5,H33,0)</f>
        <v>0</v>
      </c>
      <c r="N33" s="13" t="n">
        <f aca="false">IF(I33&gt;Assumptions!$B$6,H33,0)</f>
        <v>0</v>
      </c>
    </row>
    <row r="34" customFormat="false" ht="15" hidden="false" customHeight="false" outlineLevel="0" collapsed="false">
      <c r="A34" s="22" t="s">
        <v>118</v>
      </c>
      <c r="B34" s="22" t="s">
        <v>47</v>
      </c>
      <c r="C34" s="22" t="s">
        <v>55</v>
      </c>
      <c r="D34" s="23" t="n">
        <v>45374</v>
      </c>
      <c r="E34" s="24" t="n">
        <v>127000</v>
      </c>
      <c r="F34" s="25" t="n">
        <v>0.12</v>
      </c>
      <c r="G34" s="22" t="n">
        <v>12</v>
      </c>
      <c r="H34" s="24" t="n">
        <v>80900</v>
      </c>
      <c r="I34" s="22" t="n">
        <v>0</v>
      </c>
      <c r="J34" s="12" t="str">
        <f aca="false">IF(I34&lt;=0,"Current",IF(I34&lt;=30,"01-30 days",IF(I34&lt;=90,"31-90 days",IF(I34&lt;=180,"91-180 days","180+ days"))))</f>
        <v>Current</v>
      </c>
      <c r="K34" s="14" t="n">
        <f aca="false">INDEX(Assumptions!$B$11:$B$15,MATCH(J34,Assumptions!$A$11:$A$15,0))</f>
        <v>0.01</v>
      </c>
      <c r="L34" s="13" t="n">
        <f aca="false">H34*K34</f>
        <v>809</v>
      </c>
      <c r="M34" s="13" t="n">
        <f aca="false">IF(I34&gt;Assumptions!$B$5,H34,0)</f>
        <v>0</v>
      </c>
      <c r="N34" s="13" t="n">
        <f aca="false">IF(I34&gt;Assumptions!$B$6,H34,0)</f>
        <v>0</v>
      </c>
    </row>
    <row r="35" customFormat="false" ht="15" hidden="false" customHeight="false" outlineLevel="0" collapsed="false">
      <c r="A35" s="22" t="s">
        <v>119</v>
      </c>
      <c r="B35" s="22" t="s">
        <v>44</v>
      </c>
      <c r="C35" s="22" t="s">
        <v>52</v>
      </c>
      <c r="D35" s="23" t="n">
        <v>45689</v>
      </c>
      <c r="E35" s="24" t="n">
        <v>363000</v>
      </c>
      <c r="F35" s="25" t="n">
        <v>0.14</v>
      </c>
      <c r="G35" s="22" t="n">
        <v>36</v>
      </c>
      <c r="H35" s="24" t="n">
        <v>312100</v>
      </c>
      <c r="I35" s="22" t="n">
        <v>0</v>
      </c>
      <c r="J35" s="12" t="str">
        <f aca="false">IF(I35&lt;=0,"Current",IF(I35&lt;=30,"01-30 days",IF(I35&lt;=90,"31-90 days",IF(I35&lt;=180,"91-180 days","180+ days"))))</f>
        <v>Current</v>
      </c>
      <c r="K35" s="14" t="n">
        <f aca="false">INDEX(Assumptions!$B$11:$B$15,MATCH(J35,Assumptions!$A$11:$A$15,0))</f>
        <v>0.01</v>
      </c>
      <c r="L35" s="13" t="n">
        <f aca="false">H35*K35</f>
        <v>3121</v>
      </c>
      <c r="M35" s="13" t="n">
        <f aca="false">IF(I35&gt;Assumptions!$B$5,H35,0)</f>
        <v>0</v>
      </c>
      <c r="N35" s="13" t="n">
        <f aca="false">IF(I35&gt;Assumptions!$B$6,H35,0)</f>
        <v>0</v>
      </c>
    </row>
    <row r="36" customFormat="false" ht="15" hidden="false" customHeight="false" outlineLevel="0" collapsed="false">
      <c r="A36" s="22" t="s">
        <v>120</v>
      </c>
      <c r="B36" s="22" t="s">
        <v>49</v>
      </c>
      <c r="C36" s="22" t="s">
        <v>56</v>
      </c>
      <c r="D36" s="23" t="n">
        <v>45377</v>
      </c>
      <c r="E36" s="24" t="n">
        <v>1137000</v>
      </c>
      <c r="F36" s="25" t="n">
        <v>0.16</v>
      </c>
      <c r="G36" s="22" t="n">
        <v>48</v>
      </c>
      <c r="H36" s="24" t="n">
        <v>603100</v>
      </c>
      <c r="I36" s="22" t="n">
        <v>0</v>
      </c>
      <c r="J36" s="12" t="str">
        <f aca="false">IF(I36&lt;=0,"Current",IF(I36&lt;=30,"01-30 days",IF(I36&lt;=90,"31-90 days",IF(I36&lt;=180,"91-180 days","180+ days"))))</f>
        <v>Current</v>
      </c>
      <c r="K36" s="14" t="n">
        <f aca="false">INDEX(Assumptions!$B$11:$B$15,MATCH(J36,Assumptions!$A$11:$A$15,0))</f>
        <v>0.01</v>
      </c>
      <c r="L36" s="13" t="n">
        <f aca="false">H36*K36</f>
        <v>6031</v>
      </c>
      <c r="M36" s="13" t="n">
        <f aca="false">IF(I36&gt;Assumptions!$B$5,H36,0)</f>
        <v>0</v>
      </c>
      <c r="N36" s="13" t="n">
        <f aca="false">IF(I36&gt;Assumptions!$B$6,H36,0)</f>
        <v>0</v>
      </c>
    </row>
    <row r="37" customFormat="false" ht="15" hidden="false" customHeight="false" outlineLevel="0" collapsed="false">
      <c r="A37" s="22" t="s">
        <v>121</v>
      </c>
      <c r="B37" s="22" t="s">
        <v>46</v>
      </c>
      <c r="C37" s="22" t="s">
        <v>56</v>
      </c>
      <c r="D37" s="23" t="n">
        <v>45921</v>
      </c>
      <c r="E37" s="24" t="n">
        <v>261000</v>
      </c>
      <c r="F37" s="25" t="n">
        <v>0.16</v>
      </c>
      <c r="G37" s="22" t="n">
        <v>48</v>
      </c>
      <c r="H37" s="24" t="n">
        <v>112900</v>
      </c>
      <c r="I37" s="22" t="n">
        <v>45</v>
      </c>
      <c r="J37" s="12" t="str">
        <f aca="false">IF(I37&lt;=0,"Current",IF(I37&lt;=30,"01-30 days",IF(I37&lt;=90,"31-90 days",IF(I37&lt;=180,"91-180 days","180+ days"))))</f>
        <v>31-90 days</v>
      </c>
      <c r="K37" s="14" t="n">
        <f aca="false">INDEX(Assumptions!$B$11:$B$15,MATCH(J37,Assumptions!$A$11:$A$15,0))</f>
        <v>0.25</v>
      </c>
      <c r="L37" s="13" t="n">
        <f aca="false">H37*K37</f>
        <v>28225</v>
      </c>
      <c r="M37" s="13" t="n">
        <f aca="false">IF(I37&gt;Assumptions!$B$5,H37,0)</f>
        <v>112900</v>
      </c>
      <c r="N37" s="13" t="n">
        <f aca="false">IF(I37&gt;Assumptions!$B$6,H37,0)</f>
        <v>0</v>
      </c>
    </row>
    <row r="38" customFormat="false" ht="15" hidden="false" customHeight="false" outlineLevel="0" collapsed="false">
      <c r="A38" s="22" t="s">
        <v>122</v>
      </c>
      <c r="B38" s="22" t="s">
        <v>47</v>
      </c>
      <c r="C38" s="22" t="s">
        <v>55</v>
      </c>
      <c r="D38" s="23" t="n">
        <v>45438</v>
      </c>
      <c r="E38" s="24" t="n">
        <v>95000</v>
      </c>
      <c r="F38" s="25" t="n">
        <v>0.12</v>
      </c>
      <c r="G38" s="22" t="n">
        <v>12</v>
      </c>
      <c r="H38" s="24" t="n">
        <v>82900</v>
      </c>
      <c r="I38" s="22" t="n">
        <v>0</v>
      </c>
      <c r="J38" s="12" t="str">
        <f aca="false">IF(I38&lt;=0,"Current",IF(I38&lt;=30,"01-30 days",IF(I38&lt;=90,"31-90 days",IF(I38&lt;=180,"91-180 days","180+ days"))))</f>
        <v>Current</v>
      </c>
      <c r="K38" s="14" t="n">
        <f aca="false">INDEX(Assumptions!$B$11:$B$15,MATCH(J38,Assumptions!$A$11:$A$15,0))</f>
        <v>0.01</v>
      </c>
      <c r="L38" s="13" t="n">
        <f aca="false">H38*K38</f>
        <v>829</v>
      </c>
      <c r="M38" s="13" t="n">
        <f aca="false">IF(I38&gt;Assumptions!$B$5,H38,0)</f>
        <v>0</v>
      </c>
      <c r="N38" s="13" t="n">
        <f aca="false">IF(I38&gt;Assumptions!$B$6,H38,0)</f>
        <v>0</v>
      </c>
    </row>
    <row r="39" customFormat="false" ht="15" hidden="false" customHeight="false" outlineLevel="0" collapsed="false">
      <c r="A39" s="22" t="s">
        <v>123</v>
      </c>
      <c r="B39" s="22" t="s">
        <v>47</v>
      </c>
      <c r="C39" s="22" t="s">
        <v>53</v>
      </c>
      <c r="D39" s="23" t="n">
        <v>45744</v>
      </c>
      <c r="E39" s="24" t="n">
        <v>63000</v>
      </c>
      <c r="F39" s="25" t="n">
        <v>0.18</v>
      </c>
      <c r="G39" s="22" t="n">
        <v>6</v>
      </c>
      <c r="H39" s="24" t="n">
        <v>48200</v>
      </c>
      <c r="I39" s="22" t="n">
        <v>0</v>
      </c>
      <c r="J39" s="12" t="str">
        <f aca="false">IF(I39&lt;=0,"Current",IF(I39&lt;=30,"01-30 days",IF(I39&lt;=90,"31-90 days",IF(I39&lt;=180,"91-180 days","180+ days"))))</f>
        <v>Current</v>
      </c>
      <c r="K39" s="14" t="n">
        <f aca="false">INDEX(Assumptions!$B$11:$B$15,MATCH(J39,Assumptions!$A$11:$A$15,0))</f>
        <v>0.01</v>
      </c>
      <c r="L39" s="13" t="n">
        <f aca="false">H39*K39</f>
        <v>482</v>
      </c>
      <c r="M39" s="13" t="n">
        <f aca="false">IF(I39&gt;Assumptions!$B$5,H39,0)</f>
        <v>0</v>
      </c>
      <c r="N39" s="13" t="n">
        <f aca="false">IF(I39&gt;Assumptions!$B$6,H39,0)</f>
        <v>0</v>
      </c>
    </row>
    <row r="40" customFormat="false" ht="15" hidden="false" customHeight="false" outlineLevel="0" collapsed="false">
      <c r="A40" s="22" t="s">
        <v>124</v>
      </c>
      <c r="B40" s="22" t="s">
        <v>46</v>
      </c>
      <c r="C40" s="22" t="s">
        <v>53</v>
      </c>
      <c r="D40" s="23" t="n">
        <v>45889</v>
      </c>
      <c r="E40" s="24" t="n">
        <v>103000</v>
      </c>
      <c r="F40" s="25" t="n">
        <v>0.18</v>
      </c>
      <c r="G40" s="22" t="n">
        <v>6</v>
      </c>
      <c r="H40" s="24" t="n">
        <v>51900</v>
      </c>
      <c r="I40" s="22" t="n">
        <v>21</v>
      </c>
      <c r="J40" s="12" t="str">
        <f aca="false">IF(I40&lt;=0,"Current",IF(I40&lt;=30,"01-30 days",IF(I40&lt;=90,"31-90 days",IF(I40&lt;=180,"91-180 days","180+ days"))))</f>
        <v>01-30 days</v>
      </c>
      <c r="K40" s="14" t="n">
        <f aca="false">INDEX(Assumptions!$B$11:$B$15,MATCH(J40,Assumptions!$A$11:$A$15,0))</f>
        <v>0.05</v>
      </c>
      <c r="L40" s="13" t="n">
        <f aca="false">H40*K40</f>
        <v>2595</v>
      </c>
      <c r="M40" s="13" t="n">
        <f aca="false">IF(I40&gt;Assumptions!$B$5,H40,0)</f>
        <v>0</v>
      </c>
      <c r="N40" s="13" t="n">
        <f aca="false">IF(I40&gt;Assumptions!$B$6,H40,0)</f>
        <v>0</v>
      </c>
    </row>
    <row r="41" customFormat="false" ht="15" hidden="false" customHeight="false" outlineLevel="0" collapsed="false">
      <c r="A41" s="22" t="s">
        <v>125</v>
      </c>
      <c r="B41" s="22" t="s">
        <v>49</v>
      </c>
      <c r="C41" s="22" t="s">
        <v>53</v>
      </c>
      <c r="D41" s="23" t="n">
        <v>46161</v>
      </c>
      <c r="E41" s="24" t="n">
        <v>54000</v>
      </c>
      <c r="F41" s="25" t="n">
        <v>0.18</v>
      </c>
      <c r="G41" s="22" t="n">
        <v>6</v>
      </c>
      <c r="H41" s="24" t="n">
        <v>16200</v>
      </c>
      <c r="I41" s="22" t="n">
        <v>0</v>
      </c>
      <c r="J41" s="12" t="str">
        <f aca="false">IF(I41&lt;=0,"Current",IF(I41&lt;=30,"01-30 days",IF(I41&lt;=90,"31-90 days",IF(I41&lt;=180,"91-180 days","180+ days"))))</f>
        <v>Current</v>
      </c>
      <c r="K41" s="14" t="n">
        <f aca="false">INDEX(Assumptions!$B$11:$B$15,MATCH(J41,Assumptions!$A$11:$A$15,0))</f>
        <v>0.01</v>
      </c>
      <c r="L41" s="13" t="n">
        <f aca="false">H41*K41</f>
        <v>162</v>
      </c>
      <c r="M41" s="13" t="n">
        <f aca="false">IF(I41&gt;Assumptions!$B$5,H41,0)</f>
        <v>0</v>
      </c>
      <c r="N41" s="13" t="n">
        <f aca="false">IF(I41&gt;Assumptions!$B$6,H41,0)</f>
        <v>0</v>
      </c>
    </row>
    <row r="42" customFormat="false" ht="15" hidden="false" customHeight="false" outlineLevel="0" collapsed="false">
      <c r="A42" s="22" t="s">
        <v>126</v>
      </c>
      <c r="B42" s="22" t="s">
        <v>44</v>
      </c>
      <c r="C42" s="22" t="s">
        <v>52</v>
      </c>
      <c r="D42" s="23" t="n">
        <v>45932</v>
      </c>
      <c r="E42" s="24" t="n">
        <v>383000</v>
      </c>
      <c r="F42" s="25" t="n">
        <v>0.14</v>
      </c>
      <c r="G42" s="22" t="n">
        <v>36</v>
      </c>
      <c r="H42" s="24" t="n">
        <v>312700</v>
      </c>
      <c r="I42" s="22" t="n">
        <v>48</v>
      </c>
      <c r="J42" s="12" t="str">
        <f aca="false">IF(I42&lt;=0,"Current",IF(I42&lt;=30,"01-30 days",IF(I42&lt;=90,"31-90 days",IF(I42&lt;=180,"91-180 days","180+ days"))))</f>
        <v>31-90 days</v>
      </c>
      <c r="K42" s="14" t="n">
        <f aca="false">INDEX(Assumptions!$B$11:$B$15,MATCH(J42,Assumptions!$A$11:$A$15,0))</f>
        <v>0.25</v>
      </c>
      <c r="L42" s="13" t="n">
        <f aca="false">H42*K42</f>
        <v>78175</v>
      </c>
      <c r="M42" s="13" t="n">
        <f aca="false">IF(I42&gt;Assumptions!$B$5,H42,0)</f>
        <v>312700</v>
      </c>
      <c r="N42" s="13" t="n">
        <f aca="false">IF(I42&gt;Assumptions!$B$6,H42,0)</f>
        <v>0</v>
      </c>
    </row>
    <row r="43" customFormat="false" ht="15" hidden="false" customHeight="false" outlineLevel="0" collapsed="false">
      <c r="A43" s="22" t="s">
        <v>127</v>
      </c>
      <c r="B43" s="22" t="s">
        <v>46</v>
      </c>
      <c r="C43" s="22" t="s">
        <v>54</v>
      </c>
      <c r="D43" s="23" t="n">
        <v>45755</v>
      </c>
      <c r="E43" s="24" t="n">
        <v>416000</v>
      </c>
      <c r="F43" s="25" t="n">
        <v>0.15</v>
      </c>
      <c r="G43" s="22" t="n">
        <v>24</v>
      </c>
      <c r="H43" s="24" t="n">
        <v>345000</v>
      </c>
      <c r="I43" s="22" t="n">
        <v>0</v>
      </c>
      <c r="J43" s="12" t="str">
        <f aca="false">IF(I43&lt;=0,"Current",IF(I43&lt;=30,"01-30 days",IF(I43&lt;=90,"31-90 days",IF(I43&lt;=180,"91-180 days","180+ days"))))</f>
        <v>Current</v>
      </c>
      <c r="K43" s="14" t="n">
        <f aca="false">INDEX(Assumptions!$B$11:$B$15,MATCH(J43,Assumptions!$A$11:$A$15,0))</f>
        <v>0.01</v>
      </c>
      <c r="L43" s="13" t="n">
        <f aca="false">H43*K43</f>
        <v>3450</v>
      </c>
      <c r="M43" s="13" t="n">
        <f aca="false">IF(I43&gt;Assumptions!$B$5,H43,0)</f>
        <v>0</v>
      </c>
      <c r="N43" s="13" t="n">
        <f aca="false">IF(I43&gt;Assumptions!$B$6,H43,0)</f>
        <v>0</v>
      </c>
    </row>
    <row r="44" customFormat="false" ht="15" hidden="false" customHeight="false" outlineLevel="0" collapsed="false">
      <c r="A44" s="22" t="s">
        <v>128</v>
      </c>
      <c r="B44" s="22" t="s">
        <v>45</v>
      </c>
      <c r="C44" s="22" t="s">
        <v>52</v>
      </c>
      <c r="D44" s="23" t="n">
        <v>46102</v>
      </c>
      <c r="E44" s="24" t="n">
        <v>384000</v>
      </c>
      <c r="F44" s="25" t="n">
        <v>0.14</v>
      </c>
      <c r="G44" s="22" t="n">
        <v>36</v>
      </c>
      <c r="H44" s="24" t="n">
        <v>328200</v>
      </c>
      <c r="I44" s="22" t="n">
        <v>23</v>
      </c>
      <c r="J44" s="12" t="str">
        <f aca="false">IF(I44&lt;=0,"Current",IF(I44&lt;=30,"01-30 days",IF(I44&lt;=90,"31-90 days",IF(I44&lt;=180,"91-180 days","180+ days"))))</f>
        <v>01-30 days</v>
      </c>
      <c r="K44" s="14" t="n">
        <f aca="false">INDEX(Assumptions!$B$11:$B$15,MATCH(J44,Assumptions!$A$11:$A$15,0))</f>
        <v>0.05</v>
      </c>
      <c r="L44" s="13" t="n">
        <f aca="false">H44*K44</f>
        <v>16410</v>
      </c>
      <c r="M44" s="13" t="n">
        <f aca="false">IF(I44&gt;Assumptions!$B$5,H44,0)</f>
        <v>0</v>
      </c>
      <c r="N44" s="13" t="n">
        <f aca="false">IF(I44&gt;Assumptions!$B$6,H44,0)</f>
        <v>0</v>
      </c>
    </row>
    <row r="45" customFormat="false" ht="15" hidden="false" customHeight="false" outlineLevel="0" collapsed="false">
      <c r="A45" s="22" t="s">
        <v>129</v>
      </c>
      <c r="B45" s="22" t="s">
        <v>47</v>
      </c>
      <c r="C45" s="22" t="s">
        <v>53</v>
      </c>
      <c r="D45" s="23" t="n">
        <v>45340</v>
      </c>
      <c r="E45" s="24" t="n">
        <v>123000</v>
      </c>
      <c r="F45" s="25" t="n">
        <v>0.18</v>
      </c>
      <c r="G45" s="22" t="n">
        <v>6</v>
      </c>
      <c r="H45" s="24" t="n">
        <v>66600</v>
      </c>
      <c r="I45" s="22" t="n">
        <v>27</v>
      </c>
      <c r="J45" s="12" t="str">
        <f aca="false">IF(I45&lt;=0,"Current",IF(I45&lt;=30,"01-30 days",IF(I45&lt;=90,"31-90 days",IF(I45&lt;=180,"91-180 days","180+ days"))))</f>
        <v>01-30 days</v>
      </c>
      <c r="K45" s="14" t="n">
        <f aca="false">INDEX(Assumptions!$B$11:$B$15,MATCH(J45,Assumptions!$A$11:$A$15,0))</f>
        <v>0.05</v>
      </c>
      <c r="L45" s="13" t="n">
        <f aca="false">H45*K45</f>
        <v>3330</v>
      </c>
      <c r="M45" s="13" t="n">
        <f aca="false">IF(I45&gt;Assumptions!$B$5,H45,0)</f>
        <v>0</v>
      </c>
      <c r="N45" s="13" t="n">
        <f aca="false">IF(I45&gt;Assumptions!$B$6,H45,0)</f>
        <v>0</v>
      </c>
    </row>
    <row r="46" customFormat="false" ht="15" hidden="false" customHeight="false" outlineLevel="0" collapsed="false">
      <c r="A46" s="22" t="s">
        <v>130</v>
      </c>
      <c r="B46" s="22" t="s">
        <v>49</v>
      </c>
      <c r="C46" s="22" t="s">
        <v>52</v>
      </c>
      <c r="D46" s="23" t="n">
        <v>45947</v>
      </c>
      <c r="E46" s="24" t="n">
        <v>557000</v>
      </c>
      <c r="F46" s="25" t="n">
        <v>0.14</v>
      </c>
      <c r="G46" s="22" t="n">
        <v>36</v>
      </c>
      <c r="H46" s="24" t="n">
        <v>156900</v>
      </c>
      <c r="I46" s="22" t="n">
        <v>0</v>
      </c>
      <c r="J46" s="12" t="str">
        <f aca="false">IF(I46&lt;=0,"Current",IF(I46&lt;=30,"01-30 days",IF(I46&lt;=90,"31-90 days",IF(I46&lt;=180,"91-180 days","180+ days"))))</f>
        <v>Current</v>
      </c>
      <c r="K46" s="14" t="n">
        <f aca="false">INDEX(Assumptions!$B$11:$B$15,MATCH(J46,Assumptions!$A$11:$A$15,0))</f>
        <v>0.01</v>
      </c>
      <c r="L46" s="13" t="n">
        <f aca="false">H46*K46</f>
        <v>1569</v>
      </c>
      <c r="M46" s="13" t="n">
        <f aca="false">IF(I46&gt;Assumptions!$B$5,H46,0)</f>
        <v>0</v>
      </c>
      <c r="N46" s="13" t="n">
        <f aca="false">IF(I46&gt;Assumptions!$B$6,H46,0)</f>
        <v>0</v>
      </c>
    </row>
    <row r="47" customFormat="false" ht="15" hidden="false" customHeight="false" outlineLevel="0" collapsed="false">
      <c r="A47" s="22" t="s">
        <v>131</v>
      </c>
      <c r="B47" s="22" t="s">
        <v>48</v>
      </c>
      <c r="C47" s="22" t="s">
        <v>52</v>
      </c>
      <c r="D47" s="23" t="n">
        <v>45554</v>
      </c>
      <c r="E47" s="24" t="n">
        <v>800000</v>
      </c>
      <c r="F47" s="25" t="n">
        <v>0.14</v>
      </c>
      <c r="G47" s="22" t="n">
        <v>36</v>
      </c>
      <c r="H47" s="24" t="n">
        <v>278800</v>
      </c>
      <c r="I47" s="22" t="n">
        <v>0</v>
      </c>
      <c r="J47" s="12" t="str">
        <f aca="false">IF(I47&lt;=0,"Current",IF(I47&lt;=30,"01-30 days",IF(I47&lt;=90,"31-90 days",IF(I47&lt;=180,"91-180 days","180+ days"))))</f>
        <v>Current</v>
      </c>
      <c r="K47" s="14" t="n">
        <f aca="false">INDEX(Assumptions!$B$11:$B$15,MATCH(J47,Assumptions!$A$11:$A$15,0))</f>
        <v>0.01</v>
      </c>
      <c r="L47" s="13" t="n">
        <f aca="false">H47*K47</f>
        <v>2788</v>
      </c>
      <c r="M47" s="13" t="n">
        <f aca="false">IF(I47&gt;Assumptions!$B$5,H47,0)</f>
        <v>0</v>
      </c>
      <c r="N47" s="13" t="n">
        <f aca="false">IF(I47&gt;Assumptions!$B$6,H47,0)</f>
        <v>0</v>
      </c>
    </row>
    <row r="48" customFormat="false" ht="15" hidden="false" customHeight="false" outlineLevel="0" collapsed="false">
      <c r="A48" s="22" t="s">
        <v>132</v>
      </c>
      <c r="B48" s="22" t="s">
        <v>44</v>
      </c>
      <c r="C48" s="22" t="s">
        <v>52</v>
      </c>
      <c r="D48" s="23" t="n">
        <v>45824</v>
      </c>
      <c r="E48" s="24" t="n">
        <v>583000</v>
      </c>
      <c r="F48" s="25" t="n">
        <v>0.14</v>
      </c>
      <c r="G48" s="22" t="n">
        <v>36</v>
      </c>
      <c r="H48" s="24" t="n">
        <v>350500</v>
      </c>
      <c r="I48" s="22" t="n">
        <v>48</v>
      </c>
      <c r="J48" s="12" t="str">
        <f aca="false">IF(I48&lt;=0,"Current",IF(I48&lt;=30,"01-30 days",IF(I48&lt;=90,"31-90 days",IF(I48&lt;=180,"91-180 days","180+ days"))))</f>
        <v>31-90 days</v>
      </c>
      <c r="K48" s="14" t="n">
        <f aca="false">INDEX(Assumptions!$B$11:$B$15,MATCH(J48,Assumptions!$A$11:$A$15,0))</f>
        <v>0.25</v>
      </c>
      <c r="L48" s="13" t="n">
        <f aca="false">H48*K48</f>
        <v>87625</v>
      </c>
      <c r="M48" s="13" t="n">
        <f aca="false">IF(I48&gt;Assumptions!$B$5,H48,0)</f>
        <v>350500</v>
      </c>
      <c r="N48" s="13" t="n">
        <f aca="false">IF(I48&gt;Assumptions!$B$6,H48,0)</f>
        <v>0</v>
      </c>
    </row>
    <row r="49" customFormat="false" ht="15" hidden="false" customHeight="false" outlineLevel="0" collapsed="false">
      <c r="A49" s="22" t="s">
        <v>133</v>
      </c>
      <c r="B49" s="22" t="s">
        <v>46</v>
      </c>
      <c r="C49" s="22" t="s">
        <v>53</v>
      </c>
      <c r="D49" s="23" t="n">
        <v>45521</v>
      </c>
      <c r="E49" s="24" t="n">
        <v>120000</v>
      </c>
      <c r="F49" s="25" t="n">
        <v>0.18</v>
      </c>
      <c r="G49" s="22" t="n">
        <v>6</v>
      </c>
      <c r="H49" s="24" t="n">
        <v>100400</v>
      </c>
      <c r="I49" s="22" t="n">
        <v>0</v>
      </c>
      <c r="J49" s="12" t="str">
        <f aca="false">IF(I49&lt;=0,"Current",IF(I49&lt;=30,"01-30 days",IF(I49&lt;=90,"31-90 days",IF(I49&lt;=180,"91-180 days","180+ days"))))</f>
        <v>Current</v>
      </c>
      <c r="K49" s="14" t="n">
        <f aca="false">INDEX(Assumptions!$B$11:$B$15,MATCH(J49,Assumptions!$A$11:$A$15,0))</f>
        <v>0.01</v>
      </c>
      <c r="L49" s="13" t="n">
        <f aca="false">H49*K49</f>
        <v>1004</v>
      </c>
      <c r="M49" s="13" t="n">
        <f aca="false">IF(I49&gt;Assumptions!$B$5,H49,0)</f>
        <v>0</v>
      </c>
      <c r="N49" s="13" t="n">
        <f aca="false">IF(I49&gt;Assumptions!$B$6,H49,0)</f>
        <v>0</v>
      </c>
    </row>
    <row r="50" customFormat="false" ht="15" hidden="false" customHeight="false" outlineLevel="0" collapsed="false">
      <c r="A50" s="22" t="s">
        <v>134</v>
      </c>
      <c r="B50" s="22" t="s">
        <v>44</v>
      </c>
      <c r="C50" s="22" t="s">
        <v>55</v>
      </c>
      <c r="D50" s="23" t="n">
        <v>46200</v>
      </c>
      <c r="E50" s="24" t="n">
        <v>63000</v>
      </c>
      <c r="F50" s="25" t="n">
        <v>0.12</v>
      </c>
      <c r="G50" s="22" t="n">
        <v>12</v>
      </c>
      <c r="H50" s="24" t="n">
        <v>33900</v>
      </c>
      <c r="I50" s="22" t="n">
        <v>0</v>
      </c>
      <c r="J50" s="12" t="str">
        <f aca="false">IF(I50&lt;=0,"Current",IF(I50&lt;=30,"01-30 days",IF(I50&lt;=90,"31-90 days",IF(I50&lt;=180,"91-180 days","180+ days"))))</f>
        <v>Current</v>
      </c>
      <c r="K50" s="14" t="n">
        <f aca="false">INDEX(Assumptions!$B$11:$B$15,MATCH(J50,Assumptions!$A$11:$A$15,0))</f>
        <v>0.01</v>
      </c>
      <c r="L50" s="13" t="n">
        <f aca="false">H50*K50</f>
        <v>339</v>
      </c>
      <c r="M50" s="13" t="n">
        <f aca="false">IF(I50&gt;Assumptions!$B$5,H50,0)</f>
        <v>0</v>
      </c>
      <c r="N50" s="13" t="n">
        <f aca="false">IF(I50&gt;Assumptions!$B$6,H50,0)</f>
        <v>0</v>
      </c>
    </row>
    <row r="51" customFormat="false" ht="15" hidden="false" customHeight="false" outlineLevel="0" collapsed="false">
      <c r="A51" s="22" t="s">
        <v>135</v>
      </c>
      <c r="B51" s="22" t="s">
        <v>49</v>
      </c>
      <c r="C51" s="22" t="s">
        <v>55</v>
      </c>
      <c r="D51" s="23" t="n">
        <v>46107</v>
      </c>
      <c r="E51" s="24" t="n">
        <v>170000</v>
      </c>
      <c r="F51" s="25" t="n">
        <v>0.12</v>
      </c>
      <c r="G51" s="22" t="n">
        <v>12</v>
      </c>
      <c r="H51" s="24" t="n">
        <v>106500</v>
      </c>
      <c r="I51" s="22" t="n">
        <v>0</v>
      </c>
      <c r="J51" s="12" t="str">
        <f aca="false">IF(I51&lt;=0,"Current",IF(I51&lt;=30,"01-30 days",IF(I51&lt;=90,"31-90 days",IF(I51&lt;=180,"91-180 days","180+ days"))))</f>
        <v>Current</v>
      </c>
      <c r="K51" s="14" t="n">
        <f aca="false">INDEX(Assumptions!$B$11:$B$15,MATCH(J51,Assumptions!$A$11:$A$15,0))</f>
        <v>0.01</v>
      </c>
      <c r="L51" s="13" t="n">
        <f aca="false">H51*K51</f>
        <v>1065</v>
      </c>
      <c r="M51" s="13" t="n">
        <f aca="false">IF(I51&gt;Assumptions!$B$5,H51,0)</f>
        <v>0</v>
      </c>
      <c r="N51" s="13" t="n">
        <f aca="false">IF(I51&gt;Assumptions!$B$6,H51,0)</f>
        <v>0</v>
      </c>
    </row>
    <row r="52" customFormat="false" ht="15" hidden="false" customHeight="false" outlineLevel="0" collapsed="false">
      <c r="A52" s="22" t="s">
        <v>136</v>
      </c>
      <c r="B52" s="22" t="s">
        <v>48</v>
      </c>
      <c r="C52" s="22" t="s">
        <v>54</v>
      </c>
      <c r="D52" s="23" t="n">
        <v>45393</v>
      </c>
      <c r="E52" s="24" t="n">
        <v>287000</v>
      </c>
      <c r="F52" s="25" t="n">
        <v>0.15</v>
      </c>
      <c r="G52" s="22" t="n">
        <v>24</v>
      </c>
      <c r="H52" s="24" t="n">
        <v>127700</v>
      </c>
      <c r="I52" s="22" t="n">
        <v>0</v>
      </c>
      <c r="J52" s="12" t="str">
        <f aca="false">IF(I52&lt;=0,"Current",IF(I52&lt;=30,"01-30 days",IF(I52&lt;=90,"31-90 days",IF(I52&lt;=180,"91-180 days","180+ days"))))</f>
        <v>Current</v>
      </c>
      <c r="K52" s="14" t="n">
        <f aca="false">INDEX(Assumptions!$B$11:$B$15,MATCH(J52,Assumptions!$A$11:$A$15,0))</f>
        <v>0.01</v>
      </c>
      <c r="L52" s="13" t="n">
        <f aca="false">H52*K52</f>
        <v>1277</v>
      </c>
      <c r="M52" s="13" t="n">
        <f aca="false">IF(I52&gt;Assumptions!$B$5,H52,0)</f>
        <v>0</v>
      </c>
      <c r="N52" s="13" t="n">
        <f aca="false">IF(I52&gt;Assumptions!$B$6,H52,0)</f>
        <v>0</v>
      </c>
    </row>
    <row r="53" customFormat="false" ht="15" hidden="false" customHeight="false" outlineLevel="0" collapsed="false">
      <c r="A53" s="22" t="s">
        <v>137</v>
      </c>
      <c r="B53" s="22" t="s">
        <v>48</v>
      </c>
      <c r="C53" s="22" t="s">
        <v>52</v>
      </c>
      <c r="D53" s="23" t="n">
        <v>45381</v>
      </c>
      <c r="E53" s="24" t="n">
        <v>318000</v>
      </c>
      <c r="F53" s="25" t="n">
        <v>0.14</v>
      </c>
      <c r="G53" s="22" t="n">
        <v>36</v>
      </c>
      <c r="H53" s="24" t="n">
        <v>121400</v>
      </c>
      <c r="I53" s="22" t="n">
        <v>0</v>
      </c>
      <c r="J53" s="12" t="str">
        <f aca="false">IF(I53&lt;=0,"Current",IF(I53&lt;=30,"01-30 days",IF(I53&lt;=90,"31-90 days",IF(I53&lt;=180,"91-180 days","180+ days"))))</f>
        <v>Current</v>
      </c>
      <c r="K53" s="14" t="n">
        <f aca="false">INDEX(Assumptions!$B$11:$B$15,MATCH(J53,Assumptions!$A$11:$A$15,0))</f>
        <v>0.01</v>
      </c>
      <c r="L53" s="13" t="n">
        <f aca="false">H53*K53</f>
        <v>1214</v>
      </c>
      <c r="M53" s="13" t="n">
        <f aca="false">IF(I53&gt;Assumptions!$B$5,H53,0)</f>
        <v>0</v>
      </c>
      <c r="N53" s="13" t="n">
        <f aca="false">IF(I53&gt;Assumptions!$B$6,H53,0)</f>
        <v>0</v>
      </c>
    </row>
    <row r="54" customFormat="false" ht="15" hidden="false" customHeight="false" outlineLevel="0" collapsed="false">
      <c r="A54" s="22" t="s">
        <v>138</v>
      </c>
      <c r="B54" s="22" t="s">
        <v>49</v>
      </c>
      <c r="C54" s="22" t="s">
        <v>56</v>
      </c>
      <c r="D54" s="23" t="n">
        <v>45308</v>
      </c>
      <c r="E54" s="24" t="n">
        <v>856000</v>
      </c>
      <c r="F54" s="25" t="n">
        <v>0.16</v>
      </c>
      <c r="G54" s="22" t="n">
        <v>48</v>
      </c>
      <c r="H54" s="24" t="n">
        <v>339300</v>
      </c>
      <c r="I54" s="22" t="n">
        <v>0</v>
      </c>
      <c r="J54" s="12" t="str">
        <f aca="false">IF(I54&lt;=0,"Current",IF(I54&lt;=30,"01-30 days",IF(I54&lt;=90,"31-90 days",IF(I54&lt;=180,"91-180 days","180+ days"))))</f>
        <v>Current</v>
      </c>
      <c r="K54" s="14" t="n">
        <f aca="false">INDEX(Assumptions!$B$11:$B$15,MATCH(J54,Assumptions!$A$11:$A$15,0))</f>
        <v>0.01</v>
      </c>
      <c r="L54" s="13" t="n">
        <f aca="false">H54*K54</f>
        <v>3393</v>
      </c>
      <c r="M54" s="13" t="n">
        <f aca="false">IF(I54&gt;Assumptions!$B$5,H54,0)</f>
        <v>0</v>
      </c>
      <c r="N54" s="13" t="n">
        <f aca="false">IF(I54&gt;Assumptions!$B$6,H54,0)</f>
        <v>0</v>
      </c>
    </row>
    <row r="55" customFormat="false" ht="15" hidden="false" customHeight="false" outlineLevel="0" collapsed="false">
      <c r="A55" s="22" t="s">
        <v>139</v>
      </c>
      <c r="B55" s="22" t="s">
        <v>45</v>
      </c>
      <c r="C55" s="22" t="s">
        <v>52</v>
      </c>
      <c r="D55" s="23" t="n">
        <v>46078</v>
      </c>
      <c r="E55" s="24" t="n">
        <v>138000</v>
      </c>
      <c r="F55" s="25" t="n">
        <v>0.14</v>
      </c>
      <c r="G55" s="22" t="n">
        <v>36</v>
      </c>
      <c r="H55" s="24" t="n">
        <v>73200</v>
      </c>
      <c r="I55" s="22" t="n">
        <v>0</v>
      </c>
      <c r="J55" s="12" t="str">
        <f aca="false">IF(I55&lt;=0,"Current",IF(I55&lt;=30,"01-30 days",IF(I55&lt;=90,"31-90 days",IF(I55&lt;=180,"91-180 days","180+ days"))))</f>
        <v>Current</v>
      </c>
      <c r="K55" s="14" t="n">
        <f aca="false">INDEX(Assumptions!$B$11:$B$15,MATCH(J55,Assumptions!$A$11:$A$15,0))</f>
        <v>0.01</v>
      </c>
      <c r="L55" s="13" t="n">
        <f aca="false">H55*K55</f>
        <v>732</v>
      </c>
      <c r="M55" s="13" t="n">
        <f aca="false">IF(I55&gt;Assumptions!$B$5,H55,0)</f>
        <v>0</v>
      </c>
      <c r="N55" s="13" t="n">
        <f aca="false">IF(I55&gt;Assumptions!$B$6,H55,0)</f>
        <v>0</v>
      </c>
    </row>
    <row r="56" customFormat="false" ht="15" hidden="false" customHeight="false" outlineLevel="0" collapsed="false">
      <c r="A56" s="22" t="s">
        <v>140</v>
      </c>
      <c r="B56" s="22" t="s">
        <v>45</v>
      </c>
      <c r="C56" s="22" t="s">
        <v>52</v>
      </c>
      <c r="D56" s="23" t="n">
        <v>46098</v>
      </c>
      <c r="E56" s="24" t="n">
        <v>323000</v>
      </c>
      <c r="F56" s="25" t="n">
        <v>0.14</v>
      </c>
      <c r="G56" s="22" t="n">
        <v>36</v>
      </c>
      <c r="H56" s="24" t="n">
        <v>260600</v>
      </c>
      <c r="I56" s="22" t="n">
        <v>26</v>
      </c>
      <c r="J56" s="12" t="str">
        <f aca="false">IF(I56&lt;=0,"Current",IF(I56&lt;=30,"01-30 days",IF(I56&lt;=90,"31-90 days",IF(I56&lt;=180,"91-180 days","180+ days"))))</f>
        <v>01-30 days</v>
      </c>
      <c r="K56" s="14" t="n">
        <f aca="false">INDEX(Assumptions!$B$11:$B$15,MATCH(J56,Assumptions!$A$11:$A$15,0))</f>
        <v>0.05</v>
      </c>
      <c r="L56" s="13" t="n">
        <f aca="false">H56*K56</f>
        <v>13030</v>
      </c>
      <c r="M56" s="13" t="n">
        <f aca="false">IF(I56&gt;Assumptions!$B$5,H56,0)</f>
        <v>0</v>
      </c>
      <c r="N56" s="13" t="n">
        <f aca="false">IF(I56&gt;Assumptions!$B$6,H56,0)</f>
        <v>0</v>
      </c>
    </row>
    <row r="57" customFormat="false" ht="15" hidden="false" customHeight="false" outlineLevel="0" collapsed="false">
      <c r="A57" s="22" t="s">
        <v>141</v>
      </c>
      <c r="B57" s="22" t="s">
        <v>49</v>
      </c>
      <c r="C57" s="22" t="s">
        <v>55</v>
      </c>
      <c r="D57" s="23" t="n">
        <v>45822</v>
      </c>
      <c r="E57" s="24" t="n">
        <v>68000</v>
      </c>
      <c r="F57" s="25" t="n">
        <v>0.12</v>
      </c>
      <c r="G57" s="22" t="n">
        <v>12</v>
      </c>
      <c r="H57" s="24" t="n">
        <v>64600</v>
      </c>
      <c r="I57" s="22" t="n">
        <v>0</v>
      </c>
      <c r="J57" s="12" t="str">
        <f aca="false">IF(I57&lt;=0,"Current",IF(I57&lt;=30,"01-30 days",IF(I57&lt;=90,"31-90 days",IF(I57&lt;=180,"91-180 days","180+ days"))))</f>
        <v>Current</v>
      </c>
      <c r="K57" s="14" t="n">
        <f aca="false">INDEX(Assumptions!$B$11:$B$15,MATCH(J57,Assumptions!$A$11:$A$15,0))</f>
        <v>0.01</v>
      </c>
      <c r="L57" s="13" t="n">
        <f aca="false">H57*K57</f>
        <v>646</v>
      </c>
      <c r="M57" s="13" t="n">
        <f aca="false">IF(I57&gt;Assumptions!$B$5,H57,0)</f>
        <v>0</v>
      </c>
      <c r="N57" s="13" t="n">
        <f aca="false">IF(I57&gt;Assumptions!$B$6,H57,0)</f>
        <v>0</v>
      </c>
    </row>
    <row r="58" customFormat="false" ht="15" hidden="false" customHeight="false" outlineLevel="0" collapsed="false">
      <c r="A58" s="22" t="s">
        <v>142</v>
      </c>
      <c r="B58" s="22" t="s">
        <v>48</v>
      </c>
      <c r="C58" s="22" t="s">
        <v>55</v>
      </c>
      <c r="D58" s="23" t="n">
        <v>46068</v>
      </c>
      <c r="E58" s="24" t="n">
        <v>156000</v>
      </c>
      <c r="F58" s="25" t="n">
        <v>0.12</v>
      </c>
      <c r="G58" s="22" t="n">
        <v>12</v>
      </c>
      <c r="H58" s="24" t="n">
        <v>98900</v>
      </c>
      <c r="I58" s="22" t="n">
        <v>0</v>
      </c>
      <c r="J58" s="12" t="str">
        <f aca="false">IF(I58&lt;=0,"Current",IF(I58&lt;=30,"01-30 days",IF(I58&lt;=90,"31-90 days",IF(I58&lt;=180,"91-180 days","180+ days"))))</f>
        <v>Current</v>
      </c>
      <c r="K58" s="14" t="n">
        <f aca="false">INDEX(Assumptions!$B$11:$B$15,MATCH(J58,Assumptions!$A$11:$A$15,0))</f>
        <v>0.01</v>
      </c>
      <c r="L58" s="13" t="n">
        <f aca="false">H58*K58</f>
        <v>989</v>
      </c>
      <c r="M58" s="13" t="n">
        <f aca="false">IF(I58&gt;Assumptions!$B$5,H58,0)</f>
        <v>0</v>
      </c>
      <c r="N58" s="13" t="n">
        <f aca="false">IF(I58&gt;Assumptions!$B$6,H58,0)</f>
        <v>0</v>
      </c>
    </row>
    <row r="59" customFormat="false" ht="15" hidden="false" customHeight="false" outlineLevel="0" collapsed="false">
      <c r="A59" s="22" t="s">
        <v>143</v>
      </c>
      <c r="B59" s="22" t="s">
        <v>45</v>
      </c>
      <c r="C59" s="22" t="s">
        <v>56</v>
      </c>
      <c r="D59" s="23" t="n">
        <v>45946</v>
      </c>
      <c r="E59" s="24" t="n">
        <v>1344000</v>
      </c>
      <c r="F59" s="25" t="n">
        <v>0.16</v>
      </c>
      <c r="G59" s="22" t="n">
        <v>48</v>
      </c>
      <c r="H59" s="24" t="n">
        <v>561300</v>
      </c>
      <c r="I59" s="22" t="n">
        <v>0</v>
      </c>
      <c r="J59" s="12" t="str">
        <f aca="false">IF(I59&lt;=0,"Current",IF(I59&lt;=30,"01-30 days",IF(I59&lt;=90,"31-90 days",IF(I59&lt;=180,"91-180 days","180+ days"))))</f>
        <v>Current</v>
      </c>
      <c r="K59" s="14" t="n">
        <f aca="false">INDEX(Assumptions!$B$11:$B$15,MATCH(J59,Assumptions!$A$11:$A$15,0))</f>
        <v>0.01</v>
      </c>
      <c r="L59" s="13" t="n">
        <f aca="false">H59*K59</f>
        <v>5613</v>
      </c>
      <c r="M59" s="13" t="n">
        <f aca="false">IF(I59&gt;Assumptions!$B$5,H59,0)</f>
        <v>0</v>
      </c>
      <c r="N59" s="13" t="n">
        <f aca="false">IF(I59&gt;Assumptions!$B$6,H59,0)</f>
        <v>0</v>
      </c>
    </row>
    <row r="60" customFormat="false" ht="15" hidden="false" customHeight="false" outlineLevel="0" collapsed="false">
      <c r="A60" s="22" t="s">
        <v>144</v>
      </c>
      <c r="B60" s="22" t="s">
        <v>44</v>
      </c>
      <c r="C60" s="22" t="s">
        <v>56</v>
      </c>
      <c r="D60" s="23" t="n">
        <v>46157</v>
      </c>
      <c r="E60" s="24" t="n">
        <v>1346000</v>
      </c>
      <c r="F60" s="25" t="n">
        <v>0.16</v>
      </c>
      <c r="G60" s="22" t="n">
        <v>48</v>
      </c>
      <c r="H60" s="24" t="n">
        <v>528200</v>
      </c>
      <c r="I60" s="22" t="n">
        <v>0</v>
      </c>
      <c r="J60" s="12" t="str">
        <f aca="false">IF(I60&lt;=0,"Current",IF(I60&lt;=30,"01-30 days",IF(I60&lt;=90,"31-90 days",IF(I60&lt;=180,"91-180 days","180+ days"))))</f>
        <v>Current</v>
      </c>
      <c r="K60" s="14" t="n">
        <f aca="false">INDEX(Assumptions!$B$11:$B$15,MATCH(J60,Assumptions!$A$11:$A$15,0))</f>
        <v>0.01</v>
      </c>
      <c r="L60" s="13" t="n">
        <f aca="false">H60*K60</f>
        <v>5282</v>
      </c>
      <c r="M60" s="13" t="n">
        <f aca="false">IF(I60&gt;Assumptions!$B$5,H60,0)</f>
        <v>0</v>
      </c>
      <c r="N60" s="13" t="n">
        <f aca="false">IF(I60&gt;Assumptions!$B$6,H60,0)</f>
        <v>0</v>
      </c>
    </row>
    <row r="61" customFormat="false" ht="15" hidden="false" customHeight="false" outlineLevel="0" collapsed="false">
      <c r="A61" s="22" t="s">
        <v>145</v>
      </c>
      <c r="B61" s="22" t="s">
        <v>48</v>
      </c>
      <c r="C61" s="22" t="s">
        <v>56</v>
      </c>
      <c r="D61" s="23" t="n">
        <v>45849</v>
      </c>
      <c r="E61" s="24" t="n">
        <v>626000</v>
      </c>
      <c r="F61" s="25" t="n">
        <v>0.16</v>
      </c>
      <c r="G61" s="22" t="n">
        <v>48</v>
      </c>
      <c r="H61" s="24" t="n">
        <v>268100</v>
      </c>
      <c r="I61" s="22" t="n">
        <v>0</v>
      </c>
      <c r="J61" s="12" t="str">
        <f aca="false">IF(I61&lt;=0,"Current",IF(I61&lt;=30,"01-30 days",IF(I61&lt;=90,"31-90 days",IF(I61&lt;=180,"91-180 days","180+ days"))))</f>
        <v>Current</v>
      </c>
      <c r="K61" s="14" t="n">
        <f aca="false">INDEX(Assumptions!$B$11:$B$15,MATCH(J61,Assumptions!$A$11:$A$15,0))</f>
        <v>0.01</v>
      </c>
      <c r="L61" s="13" t="n">
        <f aca="false">H61*K61</f>
        <v>2681</v>
      </c>
      <c r="M61" s="13" t="n">
        <f aca="false">IF(I61&gt;Assumptions!$B$5,H61,0)</f>
        <v>0</v>
      </c>
      <c r="N61" s="13" t="n">
        <f aca="false">IF(I61&gt;Assumptions!$B$6,H61,0)</f>
        <v>0</v>
      </c>
    </row>
    <row r="62" customFormat="false" ht="15" hidden="false" customHeight="false" outlineLevel="0" collapsed="false">
      <c r="A62" s="22" t="s">
        <v>146</v>
      </c>
      <c r="B62" s="22" t="s">
        <v>46</v>
      </c>
      <c r="C62" s="22" t="s">
        <v>56</v>
      </c>
      <c r="D62" s="23" t="n">
        <v>45807</v>
      </c>
      <c r="E62" s="24" t="n">
        <v>1219000</v>
      </c>
      <c r="F62" s="25" t="n">
        <v>0.16</v>
      </c>
      <c r="G62" s="22" t="n">
        <v>48</v>
      </c>
      <c r="H62" s="24" t="n">
        <v>427500</v>
      </c>
      <c r="I62" s="22" t="n">
        <v>0</v>
      </c>
      <c r="J62" s="12" t="str">
        <f aca="false">IF(I62&lt;=0,"Current",IF(I62&lt;=30,"01-30 days",IF(I62&lt;=90,"31-90 days",IF(I62&lt;=180,"91-180 days","180+ days"))))</f>
        <v>Current</v>
      </c>
      <c r="K62" s="14" t="n">
        <f aca="false">INDEX(Assumptions!$B$11:$B$15,MATCH(J62,Assumptions!$A$11:$A$15,0))</f>
        <v>0.01</v>
      </c>
      <c r="L62" s="13" t="n">
        <f aca="false">H62*K62</f>
        <v>4275</v>
      </c>
      <c r="M62" s="13" t="n">
        <f aca="false">IF(I62&gt;Assumptions!$B$5,H62,0)</f>
        <v>0</v>
      </c>
      <c r="N62" s="13" t="n">
        <f aca="false">IF(I62&gt;Assumptions!$B$6,H62,0)</f>
        <v>0</v>
      </c>
    </row>
    <row r="63" customFormat="false" ht="15" hidden="false" customHeight="false" outlineLevel="0" collapsed="false">
      <c r="A63" s="22" t="s">
        <v>147</v>
      </c>
      <c r="B63" s="22" t="s">
        <v>44</v>
      </c>
      <c r="C63" s="22" t="s">
        <v>55</v>
      </c>
      <c r="D63" s="23" t="n">
        <v>45416</v>
      </c>
      <c r="E63" s="24" t="n">
        <v>37000</v>
      </c>
      <c r="F63" s="25" t="n">
        <v>0.12</v>
      </c>
      <c r="G63" s="22" t="n">
        <v>12</v>
      </c>
      <c r="H63" s="24" t="n">
        <v>22300</v>
      </c>
      <c r="I63" s="22" t="n">
        <v>386</v>
      </c>
      <c r="J63" s="12" t="str">
        <f aca="false">IF(I63&lt;=0,"Current",IF(I63&lt;=30,"01-30 days",IF(I63&lt;=90,"31-90 days",IF(I63&lt;=180,"91-180 days","180+ days"))))</f>
        <v>180+ days</v>
      </c>
      <c r="K63" s="14" t="n">
        <f aca="false">INDEX(Assumptions!$B$11:$B$15,MATCH(J63,Assumptions!$A$11:$A$15,0))</f>
        <v>1</v>
      </c>
      <c r="L63" s="13" t="n">
        <f aca="false">H63*K63</f>
        <v>22300</v>
      </c>
      <c r="M63" s="13" t="n">
        <f aca="false">IF(I63&gt;Assumptions!$B$5,H63,0)</f>
        <v>22300</v>
      </c>
      <c r="N63" s="13" t="n">
        <f aca="false">IF(I63&gt;Assumptions!$B$6,H63,0)</f>
        <v>22300</v>
      </c>
    </row>
    <row r="64" customFormat="false" ht="15" hidden="false" customHeight="false" outlineLevel="0" collapsed="false">
      <c r="A64" s="22" t="s">
        <v>148</v>
      </c>
      <c r="B64" s="22" t="s">
        <v>46</v>
      </c>
      <c r="C64" s="22" t="s">
        <v>53</v>
      </c>
      <c r="D64" s="23" t="n">
        <v>46111</v>
      </c>
      <c r="E64" s="24" t="n">
        <v>36000</v>
      </c>
      <c r="F64" s="25" t="n">
        <v>0.18</v>
      </c>
      <c r="G64" s="22" t="n">
        <v>6</v>
      </c>
      <c r="H64" s="24" t="n">
        <v>32300</v>
      </c>
      <c r="I64" s="22" t="n">
        <v>0</v>
      </c>
      <c r="J64" s="12" t="str">
        <f aca="false">IF(I64&lt;=0,"Current",IF(I64&lt;=30,"01-30 days",IF(I64&lt;=90,"31-90 days",IF(I64&lt;=180,"91-180 days","180+ days"))))</f>
        <v>Current</v>
      </c>
      <c r="K64" s="14" t="n">
        <f aca="false">INDEX(Assumptions!$B$11:$B$15,MATCH(J64,Assumptions!$A$11:$A$15,0))</f>
        <v>0.01</v>
      </c>
      <c r="L64" s="13" t="n">
        <f aca="false">H64*K64</f>
        <v>323</v>
      </c>
      <c r="M64" s="13" t="n">
        <f aca="false">IF(I64&gt;Assumptions!$B$5,H64,0)</f>
        <v>0</v>
      </c>
      <c r="N64" s="13" t="n">
        <f aca="false">IF(I64&gt;Assumptions!$B$6,H64,0)</f>
        <v>0</v>
      </c>
    </row>
    <row r="65" customFormat="false" ht="15" hidden="false" customHeight="false" outlineLevel="0" collapsed="false">
      <c r="A65" s="22" t="s">
        <v>149</v>
      </c>
      <c r="B65" s="22" t="s">
        <v>49</v>
      </c>
      <c r="C65" s="22" t="s">
        <v>54</v>
      </c>
      <c r="D65" s="23" t="n">
        <v>45488</v>
      </c>
      <c r="E65" s="24" t="n">
        <v>176000</v>
      </c>
      <c r="F65" s="25" t="n">
        <v>0.15</v>
      </c>
      <c r="G65" s="22" t="n">
        <v>24</v>
      </c>
      <c r="H65" s="24" t="n">
        <v>97700</v>
      </c>
      <c r="I65" s="22" t="n">
        <v>14</v>
      </c>
      <c r="J65" s="12" t="str">
        <f aca="false">IF(I65&lt;=0,"Current",IF(I65&lt;=30,"01-30 days",IF(I65&lt;=90,"31-90 days",IF(I65&lt;=180,"91-180 days","180+ days"))))</f>
        <v>01-30 days</v>
      </c>
      <c r="K65" s="14" t="n">
        <f aca="false">INDEX(Assumptions!$B$11:$B$15,MATCH(J65,Assumptions!$A$11:$A$15,0))</f>
        <v>0.05</v>
      </c>
      <c r="L65" s="13" t="n">
        <f aca="false">H65*K65</f>
        <v>4885</v>
      </c>
      <c r="M65" s="13" t="n">
        <f aca="false">IF(I65&gt;Assumptions!$B$5,H65,0)</f>
        <v>0</v>
      </c>
      <c r="N65" s="13" t="n">
        <f aca="false">IF(I65&gt;Assumptions!$B$6,H65,0)</f>
        <v>0</v>
      </c>
    </row>
    <row r="66" customFormat="false" ht="15" hidden="false" customHeight="false" outlineLevel="0" collapsed="false">
      <c r="A66" s="22" t="s">
        <v>150</v>
      </c>
      <c r="B66" s="22" t="s">
        <v>46</v>
      </c>
      <c r="C66" s="22" t="s">
        <v>52</v>
      </c>
      <c r="D66" s="23" t="n">
        <v>45315</v>
      </c>
      <c r="E66" s="24" t="n">
        <v>366000</v>
      </c>
      <c r="F66" s="25" t="n">
        <v>0.14</v>
      </c>
      <c r="G66" s="22" t="n">
        <v>36</v>
      </c>
      <c r="H66" s="24" t="n">
        <v>108700</v>
      </c>
      <c r="I66" s="22" t="n">
        <v>0</v>
      </c>
      <c r="J66" s="12" t="str">
        <f aca="false">IF(I66&lt;=0,"Current",IF(I66&lt;=30,"01-30 days",IF(I66&lt;=90,"31-90 days",IF(I66&lt;=180,"91-180 days","180+ days"))))</f>
        <v>Current</v>
      </c>
      <c r="K66" s="14" t="n">
        <f aca="false">INDEX(Assumptions!$B$11:$B$15,MATCH(J66,Assumptions!$A$11:$A$15,0))</f>
        <v>0.01</v>
      </c>
      <c r="L66" s="13" t="n">
        <f aca="false">H66*K66</f>
        <v>1087</v>
      </c>
      <c r="M66" s="13" t="n">
        <f aca="false">IF(I66&gt;Assumptions!$B$5,H66,0)</f>
        <v>0</v>
      </c>
      <c r="N66" s="13" t="n">
        <f aca="false">IF(I66&gt;Assumptions!$B$6,H66,0)</f>
        <v>0</v>
      </c>
    </row>
    <row r="67" customFormat="false" ht="15" hidden="false" customHeight="false" outlineLevel="0" collapsed="false">
      <c r="A67" s="22" t="s">
        <v>151</v>
      </c>
      <c r="B67" s="22" t="s">
        <v>44</v>
      </c>
      <c r="C67" s="22" t="s">
        <v>53</v>
      </c>
      <c r="D67" s="23" t="n">
        <v>46032</v>
      </c>
      <c r="E67" s="24" t="n">
        <v>78000</v>
      </c>
      <c r="F67" s="25" t="n">
        <v>0.18</v>
      </c>
      <c r="G67" s="22" t="n">
        <v>6</v>
      </c>
      <c r="H67" s="24" t="n">
        <v>16300</v>
      </c>
      <c r="I67" s="22" t="n">
        <v>0</v>
      </c>
      <c r="J67" s="12" t="str">
        <f aca="false">IF(I67&lt;=0,"Current",IF(I67&lt;=30,"01-30 days",IF(I67&lt;=90,"31-90 days",IF(I67&lt;=180,"91-180 days","180+ days"))))</f>
        <v>Current</v>
      </c>
      <c r="K67" s="14" t="n">
        <f aca="false">INDEX(Assumptions!$B$11:$B$15,MATCH(J67,Assumptions!$A$11:$A$15,0))</f>
        <v>0.01</v>
      </c>
      <c r="L67" s="13" t="n">
        <f aca="false">H67*K67</f>
        <v>163</v>
      </c>
      <c r="M67" s="13" t="n">
        <f aca="false">IF(I67&gt;Assumptions!$B$5,H67,0)</f>
        <v>0</v>
      </c>
      <c r="N67" s="13" t="n">
        <f aca="false">IF(I67&gt;Assumptions!$B$6,H67,0)</f>
        <v>0</v>
      </c>
    </row>
    <row r="68" customFormat="false" ht="15" hidden="false" customHeight="false" outlineLevel="0" collapsed="false">
      <c r="A68" s="22" t="s">
        <v>152</v>
      </c>
      <c r="B68" s="22" t="s">
        <v>45</v>
      </c>
      <c r="C68" s="22" t="s">
        <v>56</v>
      </c>
      <c r="D68" s="23" t="n">
        <v>45417</v>
      </c>
      <c r="E68" s="24" t="n">
        <v>1221000</v>
      </c>
      <c r="F68" s="25" t="n">
        <v>0.16</v>
      </c>
      <c r="G68" s="22" t="n">
        <v>48</v>
      </c>
      <c r="H68" s="24" t="n">
        <v>340200</v>
      </c>
      <c r="I68" s="22" t="n">
        <v>0</v>
      </c>
      <c r="J68" s="12" t="str">
        <f aca="false">IF(I68&lt;=0,"Current",IF(I68&lt;=30,"01-30 days",IF(I68&lt;=90,"31-90 days",IF(I68&lt;=180,"91-180 days","180+ days"))))</f>
        <v>Current</v>
      </c>
      <c r="K68" s="14" t="n">
        <f aca="false">INDEX(Assumptions!$B$11:$B$15,MATCH(J68,Assumptions!$A$11:$A$15,0))</f>
        <v>0.01</v>
      </c>
      <c r="L68" s="13" t="n">
        <f aca="false">H68*K68</f>
        <v>3402</v>
      </c>
      <c r="M68" s="13" t="n">
        <f aca="false">IF(I68&gt;Assumptions!$B$5,H68,0)</f>
        <v>0</v>
      </c>
      <c r="N68" s="13" t="n">
        <f aca="false">IF(I68&gt;Assumptions!$B$6,H68,0)</f>
        <v>0</v>
      </c>
    </row>
    <row r="69" customFormat="false" ht="15" hidden="false" customHeight="false" outlineLevel="0" collapsed="false">
      <c r="A69" s="22" t="s">
        <v>153</v>
      </c>
      <c r="B69" s="22" t="s">
        <v>48</v>
      </c>
      <c r="C69" s="22" t="s">
        <v>56</v>
      </c>
      <c r="D69" s="23" t="n">
        <v>46191</v>
      </c>
      <c r="E69" s="24" t="n">
        <v>713000</v>
      </c>
      <c r="F69" s="25" t="n">
        <v>0.16</v>
      </c>
      <c r="G69" s="22" t="n">
        <v>48</v>
      </c>
      <c r="H69" s="24" t="n">
        <v>526400</v>
      </c>
      <c r="I69" s="22" t="n">
        <v>0</v>
      </c>
      <c r="J69" s="12" t="str">
        <f aca="false">IF(I69&lt;=0,"Current",IF(I69&lt;=30,"01-30 days",IF(I69&lt;=90,"31-90 days",IF(I69&lt;=180,"91-180 days","180+ days"))))</f>
        <v>Current</v>
      </c>
      <c r="K69" s="14" t="n">
        <f aca="false">INDEX(Assumptions!$B$11:$B$15,MATCH(J69,Assumptions!$A$11:$A$15,0))</f>
        <v>0.01</v>
      </c>
      <c r="L69" s="13" t="n">
        <f aca="false">H69*K69</f>
        <v>5264</v>
      </c>
      <c r="M69" s="13" t="n">
        <f aca="false">IF(I69&gt;Assumptions!$B$5,H69,0)</f>
        <v>0</v>
      </c>
      <c r="N69" s="13" t="n">
        <f aca="false">IF(I69&gt;Assumptions!$B$6,H69,0)</f>
        <v>0</v>
      </c>
    </row>
    <row r="70" customFormat="false" ht="15" hidden="false" customHeight="false" outlineLevel="0" collapsed="false">
      <c r="A70" s="22" t="s">
        <v>154</v>
      </c>
      <c r="B70" s="22" t="s">
        <v>46</v>
      </c>
      <c r="C70" s="22" t="s">
        <v>55</v>
      </c>
      <c r="D70" s="23" t="n">
        <v>45455</v>
      </c>
      <c r="E70" s="24" t="n">
        <v>192000</v>
      </c>
      <c r="F70" s="25" t="n">
        <v>0.12</v>
      </c>
      <c r="G70" s="22" t="n">
        <v>12</v>
      </c>
      <c r="H70" s="24" t="n">
        <v>97900</v>
      </c>
      <c r="I70" s="22" t="n">
        <v>0</v>
      </c>
      <c r="J70" s="12" t="str">
        <f aca="false">IF(I70&lt;=0,"Current",IF(I70&lt;=30,"01-30 days",IF(I70&lt;=90,"31-90 days",IF(I70&lt;=180,"91-180 days","180+ days"))))</f>
        <v>Current</v>
      </c>
      <c r="K70" s="14" t="n">
        <f aca="false">INDEX(Assumptions!$B$11:$B$15,MATCH(J70,Assumptions!$A$11:$A$15,0))</f>
        <v>0.01</v>
      </c>
      <c r="L70" s="13" t="n">
        <f aca="false">H70*K70</f>
        <v>979</v>
      </c>
      <c r="M70" s="13" t="n">
        <f aca="false">IF(I70&gt;Assumptions!$B$5,H70,0)</f>
        <v>0</v>
      </c>
      <c r="N70" s="13" t="n">
        <f aca="false">IF(I70&gt;Assumptions!$B$6,H70,0)</f>
        <v>0</v>
      </c>
    </row>
    <row r="71" customFormat="false" ht="15" hidden="false" customHeight="false" outlineLevel="0" collapsed="false">
      <c r="A71" s="22" t="s">
        <v>155</v>
      </c>
      <c r="B71" s="22" t="s">
        <v>46</v>
      </c>
      <c r="C71" s="22" t="s">
        <v>56</v>
      </c>
      <c r="D71" s="23" t="n">
        <v>45918</v>
      </c>
      <c r="E71" s="24" t="n">
        <v>647000</v>
      </c>
      <c r="F71" s="25" t="n">
        <v>0.16</v>
      </c>
      <c r="G71" s="22" t="n">
        <v>48</v>
      </c>
      <c r="H71" s="24" t="n">
        <v>386400</v>
      </c>
      <c r="I71" s="22" t="n">
        <v>0</v>
      </c>
      <c r="J71" s="12" t="str">
        <f aca="false">IF(I71&lt;=0,"Current",IF(I71&lt;=30,"01-30 days",IF(I71&lt;=90,"31-90 days",IF(I71&lt;=180,"91-180 days","180+ days"))))</f>
        <v>Current</v>
      </c>
      <c r="K71" s="14" t="n">
        <f aca="false">INDEX(Assumptions!$B$11:$B$15,MATCH(J71,Assumptions!$A$11:$A$15,0))</f>
        <v>0.01</v>
      </c>
      <c r="L71" s="13" t="n">
        <f aca="false">H71*K71</f>
        <v>3864</v>
      </c>
      <c r="M71" s="13" t="n">
        <f aca="false">IF(I71&gt;Assumptions!$B$5,H71,0)</f>
        <v>0</v>
      </c>
      <c r="N71" s="13" t="n">
        <f aca="false">IF(I71&gt;Assumptions!$B$6,H71,0)</f>
        <v>0</v>
      </c>
    </row>
    <row r="72" customFormat="false" ht="15" hidden="false" customHeight="false" outlineLevel="0" collapsed="false">
      <c r="A72" s="22" t="s">
        <v>156</v>
      </c>
      <c r="B72" s="22" t="s">
        <v>47</v>
      </c>
      <c r="C72" s="22" t="s">
        <v>53</v>
      </c>
      <c r="D72" s="23" t="n">
        <v>45647</v>
      </c>
      <c r="E72" s="24" t="n">
        <v>79000</v>
      </c>
      <c r="F72" s="25" t="n">
        <v>0.18</v>
      </c>
      <c r="G72" s="22" t="n">
        <v>6</v>
      </c>
      <c r="H72" s="24" t="n">
        <v>70000</v>
      </c>
      <c r="I72" s="22" t="n">
        <v>0</v>
      </c>
      <c r="J72" s="12" t="str">
        <f aca="false">IF(I72&lt;=0,"Current",IF(I72&lt;=30,"01-30 days",IF(I72&lt;=90,"31-90 days",IF(I72&lt;=180,"91-180 days","180+ days"))))</f>
        <v>Current</v>
      </c>
      <c r="K72" s="14" t="n">
        <f aca="false">INDEX(Assumptions!$B$11:$B$15,MATCH(J72,Assumptions!$A$11:$A$15,0))</f>
        <v>0.01</v>
      </c>
      <c r="L72" s="13" t="n">
        <f aca="false">H72*K72</f>
        <v>700</v>
      </c>
      <c r="M72" s="13" t="n">
        <f aca="false">IF(I72&gt;Assumptions!$B$5,H72,0)</f>
        <v>0</v>
      </c>
      <c r="N72" s="13" t="n">
        <f aca="false">IF(I72&gt;Assumptions!$B$6,H72,0)</f>
        <v>0</v>
      </c>
    </row>
    <row r="73" customFormat="false" ht="15" hidden="false" customHeight="false" outlineLevel="0" collapsed="false">
      <c r="A73" s="22" t="s">
        <v>157</v>
      </c>
      <c r="B73" s="22" t="s">
        <v>49</v>
      </c>
      <c r="C73" s="22" t="s">
        <v>54</v>
      </c>
      <c r="D73" s="23" t="n">
        <v>45515</v>
      </c>
      <c r="E73" s="24" t="n">
        <v>358000</v>
      </c>
      <c r="F73" s="25" t="n">
        <v>0.15</v>
      </c>
      <c r="G73" s="22" t="n">
        <v>24</v>
      </c>
      <c r="H73" s="24" t="n">
        <v>156200</v>
      </c>
      <c r="I73" s="22" t="n">
        <v>0</v>
      </c>
      <c r="J73" s="12" t="str">
        <f aca="false">IF(I73&lt;=0,"Current",IF(I73&lt;=30,"01-30 days",IF(I73&lt;=90,"31-90 days",IF(I73&lt;=180,"91-180 days","180+ days"))))</f>
        <v>Current</v>
      </c>
      <c r="K73" s="14" t="n">
        <f aca="false">INDEX(Assumptions!$B$11:$B$15,MATCH(J73,Assumptions!$A$11:$A$15,0))</f>
        <v>0.01</v>
      </c>
      <c r="L73" s="13" t="n">
        <f aca="false">H73*K73</f>
        <v>1562</v>
      </c>
      <c r="M73" s="13" t="n">
        <f aca="false">IF(I73&gt;Assumptions!$B$5,H73,0)</f>
        <v>0</v>
      </c>
      <c r="N73" s="13" t="n">
        <f aca="false">IF(I73&gt;Assumptions!$B$6,H73,0)</f>
        <v>0</v>
      </c>
    </row>
    <row r="74" customFormat="false" ht="15" hidden="false" customHeight="false" outlineLevel="0" collapsed="false">
      <c r="A74" s="22" t="s">
        <v>158</v>
      </c>
      <c r="B74" s="22" t="s">
        <v>48</v>
      </c>
      <c r="C74" s="22" t="s">
        <v>53</v>
      </c>
      <c r="D74" s="23" t="n">
        <v>46036</v>
      </c>
      <c r="E74" s="24" t="n">
        <v>44000</v>
      </c>
      <c r="F74" s="25" t="n">
        <v>0.18</v>
      </c>
      <c r="G74" s="22" t="n">
        <v>6</v>
      </c>
      <c r="H74" s="24" t="n">
        <v>13200</v>
      </c>
      <c r="I74" s="22" t="n">
        <v>0</v>
      </c>
      <c r="J74" s="12" t="str">
        <f aca="false">IF(I74&lt;=0,"Current",IF(I74&lt;=30,"01-30 days",IF(I74&lt;=90,"31-90 days",IF(I74&lt;=180,"91-180 days","180+ days"))))</f>
        <v>Current</v>
      </c>
      <c r="K74" s="14" t="n">
        <f aca="false">INDEX(Assumptions!$B$11:$B$15,MATCH(J74,Assumptions!$A$11:$A$15,0))</f>
        <v>0.01</v>
      </c>
      <c r="L74" s="13" t="n">
        <f aca="false">H74*K74</f>
        <v>132</v>
      </c>
      <c r="M74" s="13" t="n">
        <f aca="false">IF(I74&gt;Assumptions!$B$5,H74,0)</f>
        <v>0</v>
      </c>
      <c r="N74" s="13" t="n">
        <f aca="false">IF(I74&gt;Assumptions!$B$6,H74,0)</f>
        <v>0</v>
      </c>
    </row>
    <row r="75" customFormat="false" ht="15" hidden="false" customHeight="false" outlineLevel="0" collapsed="false">
      <c r="A75" s="22" t="s">
        <v>159</v>
      </c>
      <c r="B75" s="22" t="s">
        <v>44</v>
      </c>
      <c r="C75" s="22" t="s">
        <v>55</v>
      </c>
      <c r="D75" s="23" t="n">
        <v>45848</v>
      </c>
      <c r="E75" s="24" t="n">
        <v>54000</v>
      </c>
      <c r="F75" s="25" t="n">
        <v>0.12</v>
      </c>
      <c r="G75" s="22" t="n">
        <v>12</v>
      </c>
      <c r="H75" s="24" t="n">
        <v>28400</v>
      </c>
      <c r="I75" s="22" t="n">
        <v>0</v>
      </c>
      <c r="J75" s="12" t="str">
        <f aca="false">IF(I75&lt;=0,"Current",IF(I75&lt;=30,"01-30 days",IF(I75&lt;=90,"31-90 days",IF(I75&lt;=180,"91-180 days","180+ days"))))</f>
        <v>Current</v>
      </c>
      <c r="K75" s="14" t="n">
        <f aca="false">INDEX(Assumptions!$B$11:$B$15,MATCH(J75,Assumptions!$A$11:$A$15,0))</f>
        <v>0.01</v>
      </c>
      <c r="L75" s="13" t="n">
        <f aca="false">H75*K75</f>
        <v>284</v>
      </c>
      <c r="M75" s="13" t="n">
        <f aca="false">IF(I75&gt;Assumptions!$B$5,H75,0)</f>
        <v>0</v>
      </c>
      <c r="N75" s="13" t="n">
        <f aca="false">IF(I75&gt;Assumptions!$B$6,H75,0)</f>
        <v>0</v>
      </c>
    </row>
    <row r="76" customFormat="false" ht="15" hidden="false" customHeight="false" outlineLevel="0" collapsed="false">
      <c r="A76" s="22" t="s">
        <v>160</v>
      </c>
      <c r="B76" s="22" t="s">
        <v>48</v>
      </c>
      <c r="C76" s="22" t="s">
        <v>53</v>
      </c>
      <c r="D76" s="23" t="n">
        <v>45310</v>
      </c>
      <c r="E76" s="24" t="n">
        <v>71000</v>
      </c>
      <c r="F76" s="25" t="n">
        <v>0.18</v>
      </c>
      <c r="G76" s="22" t="n">
        <v>6</v>
      </c>
      <c r="H76" s="24" t="n">
        <v>35600</v>
      </c>
      <c r="I76" s="22" t="n">
        <v>0</v>
      </c>
      <c r="J76" s="12" t="str">
        <f aca="false">IF(I76&lt;=0,"Current",IF(I76&lt;=30,"01-30 days",IF(I76&lt;=90,"31-90 days",IF(I76&lt;=180,"91-180 days","180+ days"))))</f>
        <v>Current</v>
      </c>
      <c r="K76" s="14" t="n">
        <f aca="false">INDEX(Assumptions!$B$11:$B$15,MATCH(J76,Assumptions!$A$11:$A$15,0))</f>
        <v>0.01</v>
      </c>
      <c r="L76" s="13" t="n">
        <f aca="false">H76*K76</f>
        <v>356</v>
      </c>
      <c r="M76" s="13" t="n">
        <f aca="false">IF(I76&gt;Assumptions!$B$5,H76,0)</f>
        <v>0</v>
      </c>
      <c r="N76" s="13" t="n">
        <f aca="false">IF(I76&gt;Assumptions!$B$6,H76,0)</f>
        <v>0</v>
      </c>
    </row>
    <row r="77" customFormat="false" ht="15" hidden="false" customHeight="false" outlineLevel="0" collapsed="false">
      <c r="A77" s="22" t="s">
        <v>161</v>
      </c>
      <c r="B77" s="22" t="s">
        <v>44</v>
      </c>
      <c r="C77" s="22" t="s">
        <v>56</v>
      </c>
      <c r="D77" s="23" t="n">
        <v>45410</v>
      </c>
      <c r="E77" s="24" t="n">
        <v>932000</v>
      </c>
      <c r="F77" s="25" t="n">
        <v>0.16</v>
      </c>
      <c r="G77" s="22" t="n">
        <v>48</v>
      </c>
      <c r="H77" s="24" t="n">
        <v>823400</v>
      </c>
      <c r="I77" s="22" t="n">
        <v>0</v>
      </c>
      <c r="J77" s="12" t="str">
        <f aca="false">IF(I77&lt;=0,"Current",IF(I77&lt;=30,"01-30 days",IF(I77&lt;=90,"31-90 days",IF(I77&lt;=180,"91-180 days","180+ days"))))</f>
        <v>Current</v>
      </c>
      <c r="K77" s="14" t="n">
        <f aca="false">INDEX(Assumptions!$B$11:$B$15,MATCH(J77,Assumptions!$A$11:$A$15,0))</f>
        <v>0.01</v>
      </c>
      <c r="L77" s="13" t="n">
        <f aca="false">H77*K77</f>
        <v>8234</v>
      </c>
      <c r="M77" s="13" t="n">
        <f aca="false">IF(I77&gt;Assumptions!$B$5,H77,0)</f>
        <v>0</v>
      </c>
      <c r="N77" s="13" t="n">
        <f aca="false">IF(I77&gt;Assumptions!$B$6,H77,0)</f>
        <v>0</v>
      </c>
    </row>
    <row r="78" customFormat="false" ht="15" hidden="false" customHeight="false" outlineLevel="0" collapsed="false">
      <c r="A78" s="22" t="s">
        <v>162</v>
      </c>
      <c r="B78" s="22" t="s">
        <v>48</v>
      </c>
      <c r="C78" s="22" t="s">
        <v>54</v>
      </c>
      <c r="D78" s="23" t="n">
        <v>46114</v>
      </c>
      <c r="E78" s="24" t="n">
        <v>307000</v>
      </c>
      <c r="F78" s="25" t="n">
        <v>0.15</v>
      </c>
      <c r="G78" s="22" t="n">
        <v>24</v>
      </c>
      <c r="H78" s="24" t="n">
        <v>291300</v>
      </c>
      <c r="I78" s="22" t="n">
        <v>0</v>
      </c>
      <c r="J78" s="12" t="str">
        <f aca="false">IF(I78&lt;=0,"Current",IF(I78&lt;=30,"01-30 days",IF(I78&lt;=90,"31-90 days",IF(I78&lt;=180,"91-180 days","180+ days"))))</f>
        <v>Current</v>
      </c>
      <c r="K78" s="14" t="n">
        <f aca="false">INDEX(Assumptions!$B$11:$B$15,MATCH(J78,Assumptions!$A$11:$A$15,0))</f>
        <v>0.01</v>
      </c>
      <c r="L78" s="13" t="n">
        <f aca="false">H78*K78</f>
        <v>2913</v>
      </c>
      <c r="M78" s="13" t="n">
        <f aca="false">IF(I78&gt;Assumptions!$B$5,H78,0)</f>
        <v>0</v>
      </c>
      <c r="N78" s="13" t="n">
        <f aca="false">IF(I78&gt;Assumptions!$B$6,H78,0)</f>
        <v>0</v>
      </c>
    </row>
    <row r="79" customFormat="false" ht="15" hidden="false" customHeight="false" outlineLevel="0" collapsed="false">
      <c r="A79" s="22" t="s">
        <v>163</v>
      </c>
      <c r="B79" s="22" t="s">
        <v>44</v>
      </c>
      <c r="C79" s="22" t="s">
        <v>52</v>
      </c>
      <c r="D79" s="23" t="n">
        <v>45819</v>
      </c>
      <c r="E79" s="24" t="n">
        <v>124000</v>
      </c>
      <c r="F79" s="25" t="n">
        <v>0.14</v>
      </c>
      <c r="G79" s="22" t="n">
        <v>36</v>
      </c>
      <c r="H79" s="24" t="n">
        <v>28300</v>
      </c>
      <c r="I79" s="22" t="n">
        <v>0</v>
      </c>
      <c r="J79" s="12" t="str">
        <f aca="false">IF(I79&lt;=0,"Current",IF(I79&lt;=30,"01-30 days",IF(I79&lt;=90,"31-90 days",IF(I79&lt;=180,"91-180 days","180+ days"))))</f>
        <v>Current</v>
      </c>
      <c r="K79" s="14" t="n">
        <f aca="false">INDEX(Assumptions!$B$11:$B$15,MATCH(J79,Assumptions!$A$11:$A$15,0))</f>
        <v>0.01</v>
      </c>
      <c r="L79" s="13" t="n">
        <f aca="false">H79*K79</f>
        <v>283</v>
      </c>
      <c r="M79" s="13" t="n">
        <f aca="false">IF(I79&gt;Assumptions!$B$5,H79,0)</f>
        <v>0</v>
      </c>
      <c r="N79" s="13" t="n">
        <f aca="false">IF(I79&gt;Assumptions!$B$6,H79,0)</f>
        <v>0</v>
      </c>
    </row>
    <row r="80" customFormat="false" ht="15" hidden="false" customHeight="false" outlineLevel="0" collapsed="false">
      <c r="A80" s="22" t="s">
        <v>164</v>
      </c>
      <c r="B80" s="22" t="s">
        <v>49</v>
      </c>
      <c r="C80" s="22" t="s">
        <v>55</v>
      </c>
      <c r="D80" s="23" t="n">
        <v>45389</v>
      </c>
      <c r="E80" s="24" t="n">
        <v>67000</v>
      </c>
      <c r="F80" s="25" t="n">
        <v>0.12</v>
      </c>
      <c r="G80" s="22" t="n">
        <v>12</v>
      </c>
      <c r="H80" s="24" t="n">
        <v>22900</v>
      </c>
      <c r="I80" s="22" t="n">
        <v>253</v>
      </c>
      <c r="J80" s="12" t="str">
        <f aca="false">IF(I80&lt;=0,"Current",IF(I80&lt;=30,"01-30 days",IF(I80&lt;=90,"31-90 days",IF(I80&lt;=180,"91-180 days","180+ days"))))</f>
        <v>180+ days</v>
      </c>
      <c r="K80" s="14" t="n">
        <f aca="false">INDEX(Assumptions!$B$11:$B$15,MATCH(J80,Assumptions!$A$11:$A$15,0))</f>
        <v>1</v>
      </c>
      <c r="L80" s="13" t="n">
        <f aca="false">H80*K80</f>
        <v>22900</v>
      </c>
      <c r="M80" s="13" t="n">
        <f aca="false">IF(I80&gt;Assumptions!$B$5,H80,0)</f>
        <v>22900</v>
      </c>
      <c r="N80" s="13" t="n">
        <f aca="false">IF(I80&gt;Assumptions!$B$6,H80,0)</f>
        <v>22900</v>
      </c>
    </row>
    <row r="81" customFormat="false" ht="15" hidden="false" customHeight="false" outlineLevel="0" collapsed="false">
      <c r="A81" s="22" t="s">
        <v>165</v>
      </c>
      <c r="B81" s="22" t="s">
        <v>47</v>
      </c>
      <c r="C81" s="22" t="s">
        <v>53</v>
      </c>
      <c r="D81" s="23" t="n">
        <v>45507</v>
      </c>
      <c r="E81" s="24" t="n">
        <v>138000</v>
      </c>
      <c r="F81" s="25" t="n">
        <v>0.18</v>
      </c>
      <c r="G81" s="22" t="n">
        <v>6</v>
      </c>
      <c r="H81" s="24" t="n">
        <v>35600</v>
      </c>
      <c r="I81" s="22" t="n">
        <v>13</v>
      </c>
      <c r="J81" s="12" t="str">
        <f aca="false">IF(I81&lt;=0,"Current",IF(I81&lt;=30,"01-30 days",IF(I81&lt;=90,"31-90 days",IF(I81&lt;=180,"91-180 days","180+ days"))))</f>
        <v>01-30 days</v>
      </c>
      <c r="K81" s="14" t="n">
        <f aca="false">INDEX(Assumptions!$B$11:$B$15,MATCH(J81,Assumptions!$A$11:$A$15,0))</f>
        <v>0.05</v>
      </c>
      <c r="L81" s="13" t="n">
        <f aca="false">H81*K81</f>
        <v>1780</v>
      </c>
      <c r="M81" s="13" t="n">
        <f aca="false">IF(I81&gt;Assumptions!$B$5,H81,0)</f>
        <v>0</v>
      </c>
      <c r="N81" s="13" t="n">
        <f aca="false">IF(I81&gt;Assumptions!$B$6,H81,0)</f>
        <v>0</v>
      </c>
    </row>
    <row r="82" customFormat="false" ht="15" hidden="false" customHeight="false" outlineLevel="0" collapsed="false">
      <c r="A82" s="22" t="s">
        <v>166</v>
      </c>
      <c r="B82" s="22" t="s">
        <v>47</v>
      </c>
      <c r="C82" s="22" t="s">
        <v>52</v>
      </c>
      <c r="D82" s="23" t="n">
        <v>45477</v>
      </c>
      <c r="E82" s="24" t="n">
        <v>749000</v>
      </c>
      <c r="F82" s="25" t="n">
        <v>0.14</v>
      </c>
      <c r="G82" s="22" t="n">
        <v>36</v>
      </c>
      <c r="H82" s="24" t="n">
        <v>543600</v>
      </c>
      <c r="I82" s="22" t="n">
        <v>0</v>
      </c>
      <c r="J82" s="12" t="str">
        <f aca="false">IF(I82&lt;=0,"Current",IF(I82&lt;=30,"01-30 days",IF(I82&lt;=90,"31-90 days",IF(I82&lt;=180,"91-180 days","180+ days"))))</f>
        <v>Current</v>
      </c>
      <c r="K82" s="14" t="n">
        <f aca="false">INDEX(Assumptions!$B$11:$B$15,MATCH(J82,Assumptions!$A$11:$A$15,0))</f>
        <v>0.01</v>
      </c>
      <c r="L82" s="13" t="n">
        <f aca="false">H82*K82</f>
        <v>5436</v>
      </c>
      <c r="M82" s="13" t="n">
        <f aca="false">IF(I82&gt;Assumptions!$B$5,H82,0)</f>
        <v>0</v>
      </c>
      <c r="N82" s="13" t="n">
        <f aca="false">IF(I82&gt;Assumptions!$B$6,H82,0)</f>
        <v>0</v>
      </c>
    </row>
    <row r="83" customFormat="false" ht="15" hidden="false" customHeight="false" outlineLevel="0" collapsed="false">
      <c r="A83" s="22" t="s">
        <v>167</v>
      </c>
      <c r="B83" s="22" t="s">
        <v>46</v>
      </c>
      <c r="C83" s="22" t="s">
        <v>54</v>
      </c>
      <c r="D83" s="23" t="n">
        <v>45911</v>
      </c>
      <c r="E83" s="24" t="n">
        <v>428000</v>
      </c>
      <c r="F83" s="25" t="n">
        <v>0.15</v>
      </c>
      <c r="G83" s="22" t="n">
        <v>24</v>
      </c>
      <c r="H83" s="24" t="n">
        <v>204400</v>
      </c>
      <c r="I83" s="22" t="n">
        <v>0</v>
      </c>
      <c r="J83" s="12" t="str">
        <f aca="false">IF(I83&lt;=0,"Current",IF(I83&lt;=30,"01-30 days",IF(I83&lt;=90,"31-90 days",IF(I83&lt;=180,"91-180 days","180+ days"))))</f>
        <v>Current</v>
      </c>
      <c r="K83" s="14" t="n">
        <f aca="false">INDEX(Assumptions!$B$11:$B$15,MATCH(J83,Assumptions!$A$11:$A$15,0))</f>
        <v>0.01</v>
      </c>
      <c r="L83" s="13" t="n">
        <f aca="false">H83*K83</f>
        <v>2044</v>
      </c>
      <c r="M83" s="13" t="n">
        <f aca="false">IF(I83&gt;Assumptions!$B$5,H83,0)</f>
        <v>0</v>
      </c>
      <c r="N83" s="13" t="n">
        <f aca="false">IF(I83&gt;Assumptions!$B$6,H83,0)</f>
        <v>0</v>
      </c>
    </row>
    <row r="84" customFormat="false" ht="15" hidden="false" customHeight="false" outlineLevel="0" collapsed="false">
      <c r="A84" s="22" t="s">
        <v>168</v>
      </c>
      <c r="B84" s="22" t="s">
        <v>44</v>
      </c>
      <c r="C84" s="22" t="s">
        <v>56</v>
      </c>
      <c r="D84" s="23" t="n">
        <v>45487</v>
      </c>
      <c r="E84" s="24" t="n">
        <v>231000</v>
      </c>
      <c r="F84" s="25" t="n">
        <v>0.16</v>
      </c>
      <c r="G84" s="22" t="n">
        <v>48</v>
      </c>
      <c r="H84" s="24" t="n">
        <v>102300</v>
      </c>
      <c r="I84" s="22" t="n">
        <v>76</v>
      </c>
      <c r="J84" s="12" t="str">
        <f aca="false">IF(I84&lt;=0,"Current",IF(I84&lt;=30,"01-30 days",IF(I84&lt;=90,"31-90 days",IF(I84&lt;=180,"91-180 days","180+ days"))))</f>
        <v>31-90 days</v>
      </c>
      <c r="K84" s="14" t="n">
        <f aca="false">INDEX(Assumptions!$B$11:$B$15,MATCH(J84,Assumptions!$A$11:$A$15,0))</f>
        <v>0.25</v>
      </c>
      <c r="L84" s="13" t="n">
        <f aca="false">H84*K84</f>
        <v>25575</v>
      </c>
      <c r="M84" s="13" t="n">
        <f aca="false">IF(I84&gt;Assumptions!$B$5,H84,0)</f>
        <v>102300</v>
      </c>
      <c r="N84" s="13" t="n">
        <f aca="false">IF(I84&gt;Assumptions!$B$6,H84,0)</f>
        <v>0</v>
      </c>
    </row>
    <row r="85" customFormat="false" ht="15" hidden="false" customHeight="false" outlineLevel="0" collapsed="false">
      <c r="A85" s="22" t="s">
        <v>169</v>
      </c>
      <c r="B85" s="22" t="s">
        <v>46</v>
      </c>
      <c r="C85" s="22" t="s">
        <v>54</v>
      </c>
      <c r="D85" s="23" t="n">
        <v>45428</v>
      </c>
      <c r="E85" s="24" t="n">
        <v>462000</v>
      </c>
      <c r="F85" s="25" t="n">
        <v>0.15</v>
      </c>
      <c r="G85" s="22" t="n">
        <v>24</v>
      </c>
      <c r="H85" s="24" t="n">
        <v>356600</v>
      </c>
      <c r="I85" s="22" t="n">
        <v>389</v>
      </c>
      <c r="J85" s="12" t="str">
        <f aca="false">IF(I85&lt;=0,"Current",IF(I85&lt;=30,"01-30 days",IF(I85&lt;=90,"31-90 days",IF(I85&lt;=180,"91-180 days","180+ days"))))</f>
        <v>180+ days</v>
      </c>
      <c r="K85" s="14" t="n">
        <f aca="false">INDEX(Assumptions!$B$11:$B$15,MATCH(J85,Assumptions!$A$11:$A$15,0))</f>
        <v>1</v>
      </c>
      <c r="L85" s="13" t="n">
        <f aca="false">H85*K85</f>
        <v>356600</v>
      </c>
      <c r="M85" s="13" t="n">
        <f aca="false">IF(I85&gt;Assumptions!$B$5,H85,0)</f>
        <v>356600</v>
      </c>
      <c r="N85" s="13" t="n">
        <f aca="false">IF(I85&gt;Assumptions!$B$6,H85,0)</f>
        <v>356600</v>
      </c>
    </row>
    <row r="86" customFormat="false" ht="15" hidden="false" customHeight="false" outlineLevel="0" collapsed="false">
      <c r="A86" s="22" t="s">
        <v>170</v>
      </c>
      <c r="B86" s="22" t="s">
        <v>49</v>
      </c>
      <c r="C86" s="22" t="s">
        <v>56</v>
      </c>
      <c r="D86" s="23" t="n">
        <v>45707</v>
      </c>
      <c r="E86" s="24" t="n">
        <v>957000</v>
      </c>
      <c r="F86" s="25" t="n">
        <v>0.16</v>
      </c>
      <c r="G86" s="22" t="n">
        <v>48</v>
      </c>
      <c r="H86" s="24" t="n">
        <v>742100</v>
      </c>
      <c r="I86" s="22" t="n">
        <v>0</v>
      </c>
      <c r="J86" s="12" t="str">
        <f aca="false">IF(I86&lt;=0,"Current",IF(I86&lt;=30,"01-30 days",IF(I86&lt;=90,"31-90 days",IF(I86&lt;=180,"91-180 days","180+ days"))))</f>
        <v>Current</v>
      </c>
      <c r="K86" s="14" t="n">
        <f aca="false">INDEX(Assumptions!$B$11:$B$15,MATCH(J86,Assumptions!$A$11:$A$15,0))</f>
        <v>0.01</v>
      </c>
      <c r="L86" s="13" t="n">
        <f aca="false">H86*K86</f>
        <v>7421</v>
      </c>
      <c r="M86" s="13" t="n">
        <f aca="false">IF(I86&gt;Assumptions!$B$5,H86,0)</f>
        <v>0</v>
      </c>
      <c r="N86" s="13" t="n">
        <f aca="false">IF(I86&gt;Assumptions!$B$6,H86,0)</f>
        <v>0</v>
      </c>
    </row>
    <row r="87" customFormat="false" ht="15" hidden="false" customHeight="false" outlineLevel="0" collapsed="false">
      <c r="A87" s="22" t="s">
        <v>171</v>
      </c>
      <c r="B87" s="22" t="s">
        <v>44</v>
      </c>
      <c r="C87" s="22" t="s">
        <v>53</v>
      </c>
      <c r="D87" s="23" t="n">
        <v>45395</v>
      </c>
      <c r="E87" s="24" t="n">
        <v>38000</v>
      </c>
      <c r="F87" s="25" t="n">
        <v>0.18</v>
      </c>
      <c r="G87" s="22" t="n">
        <v>6</v>
      </c>
      <c r="H87" s="24" t="n">
        <v>30300</v>
      </c>
      <c r="I87" s="22" t="n">
        <v>0</v>
      </c>
      <c r="J87" s="12" t="str">
        <f aca="false">IF(I87&lt;=0,"Current",IF(I87&lt;=30,"01-30 days",IF(I87&lt;=90,"31-90 days",IF(I87&lt;=180,"91-180 days","180+ days"))))</f>
        <v>Current</v>
      </c>
      <c r="K87" s="14" t="n">
        <f aca="false">INDEX(Assumptions!$B$11:$B$15,MATCH(J87,Assumptions!$A$11:$A$15,0))</f>
        <v>0.01</v>
      </c>
      <c r="L87" s="13" t="n">
        <f aca="false">H87*K87</f>
        <v>303</v>
      </c>
      <c r="M87" s="13" t="n">
        <f aca="false">IF(I87&gt;Assumptions!$B$5,H87,0)</f>
        <v>0</v>
      </c>
      <c r="N87" s="13" t="n">
        <f aca="false">IF(I87&gt;Assumptions!$B$6,H87,0)</f>
        <v>0</v>
      </c>
    </row>
    <row r="88" customFormat="false" ht="15" hidden="false" customHeight="false" outlineLevel="0" collapsed="false">
      <c r="A88" s="22" t="s">
        <v>172</v>
      </c>
      <c r="B88" s="22" t="s">
        <v>44</v>
      </c>
      <c r="C88" s="22" t="s">
        <v>54</v>
      </c>
      <c r="D88" s="23" t="n">
        <v>45707</v>
      </c>
      <c r="E88" s="24" t="n">
        <v>377000</v>
      </c>
      <c r="F88" s="25" t="n">
        <v>0.15</v>
      </c>
      <c r="G88" s="22" t="n">
        <v>24</v>
      </c>
      <c r="H88" s="24" t="n">
        <v>330600</v>
      </c>
      <c r="I88" s="22" t="n">
        <v>9</v>
      </c>
      <c r="J88" s="12" t="str">
        <f aca="false">IF(I88&lt;=0,"Current",IF(I88&lt;=30,"01-30 days",IF(I88&lt;=90,"31-90 days",IF(I88&lt;=180,"91-180 days","180+ days"))))</f>
        <v>01-30 days</v>
      </c>
      <c r="K88" s="14" t="n">
        <f aca="false">INDEX(Assumptions!$B$11:$B$15,MATCH(J88,Assumptions!$A$11:$A$15,0))</f>
        <v>0.05</v>
      </c>
      <c r="L88" s="13" t="n">
        <f aca="false">H88*K88</f>
        <v>16530</v>
      </c>
      <c r="M88" s="13" t="n">
        <f aca="false">IF(I88&gt;Assumptions!$B$5,H88,0)</f>
        <v>0</v>
      </c>
      <c r="N88" s="13" t="n">
        <f aca="false">IF(I88&gt;Assumptions!$B$6,H88,0)</f>
        <v>0</v>
      </c>
    </row>
    <row r="89" customFormat="false" ht="15" hidden="false" customHeight="false" outlineLevel="0" collapsed="false">
      <c r="A89" s="22" t="s">
        <v>173</v>
      </c>
      <c r="B89" s="22" t="s">
        <v>47</v>
      </c>
      <c r="C89" s="22" t="s">
        <v>56</v>
      </c>
      <c r="D89" s="23" t="n">
        <v>45949</v>
      </c>
      <c r="E89" s="24" t="n">
        <v>357000</v>
      </c>
      <c r="F89" s="25" t="n">
        <v>0.16</v>
      </c>
      <c r="G89" s="22" t="n">
        <v>48</v>
      </c>
      <c r="H89" s="24" t="n">
        <v>175700</v>
      </c>
      <c r="I89" s="22" t="n">
        <v>0</v>
      </c>
      <c r="J89" s="12" t="str">
        <f aca="false">IF(I89&lt;=0,"Current",IF(I89&lt;=30,"01-30 days",IF(I89&lt;=90,"31-90 days",IF(I89&lt;=180,"91-180 days","180+ days"))))</f>
        <v>Current</v>
      </c>
      <c r="K89" s="14" t="n">
        <f aca="false">INDEX(Assumptions!$B$11:$B$15,MATCH(J89,Assumptions!$A$11:$A$15,0))</f>
        <v>0.01</v>
      </c>
      <c r="L89" s="13" t="n">
        <f aca="false">H89*K89</f>
        <v>1757</v>
      </c>
      <c r="M89" s="13" t="n">
        <f aca="false">IF(I89&gt;Assumptions!$B$5,H89,0)</f>
        <v>0</v>
      </c>
      <c r="N89" s="13" t="n">
        <f aca="false">IF(I89&gt;Assumptions!$B$6,H89,0)</f>
        <v>0</v>
      </c>
    </row>
    <row r="90" customFormat="false" ht="15" hidden="false" customHeight="false" outlineLevel="0" collapsed="false">
      <c r="A90" s="22" t="s">
        <v>174</v>
      </c>
      <c r="B90" s="22" t="s">
        <v>44</v>
      </c>
      <c r="C90" s="22" t="s">
        <v>52</v>
      </c>
      <c r="D90" s="23" t="n">
        <v>45808</v>
      </c>
      <c r="E90" s="24" t="n">
        <v>504000</v>
      </c>
      <c r="F90" s="25" t="n">
        <v>0.14</v>
      </c>
      <c r="G90" s="22" t="n">
        <v>36</v>
      </c>
      <c r="H90" s="24" t="n">
        <v>471300</v>
      </c>
      <c r="I90" s="22" t="n">
        <v>37</v>
      </c>
      <c r="J90" s="12" t="str">
        <f aca="false">IF(I90&lt;=0,"Current",IF(I90&lt;=30,"01-30 days",IF(I90&lt;=90,"31-90 days",IF(I90&lt;=180,"91-180 days","180+ days"))))</f>
        <v>31-90 days</v>
      </c>
      <c r="K90" s="14" t="n">
        <f aca="false">INDEX(Assumptions!$B$11:$B$15,MATCH(J90,Assumptions!$A$11:$A$15,0))</f>
        <v>0.25</v>
      </c>
      <c r="L90" s="13" t="n">
        <f aca="false">H90*K90</f>
        <v>117825</v>
      </c>
      <c r="M90" s="13" t="n">
        <f aca="false">IF(I90&gt;Assumptions!$B$5,H90,0)</f>
        <v>471300</v>
      </c>
      <c r="N90" s="13" t="n">
        <f aca="false">IF(I90&gt;Assumptions!$B$6,H90,0)</f>
        <v>0</v>
      </c>
    </row>
    <row r="91" customFormat="false" ht="15" hidden="false" customHeight="false" outlineLevel="0" collapsed="false">
      <c r="A91" s="22" t="s">
        <v>175</v>
      </c>
      <c r="B91" s="22" t="s">
        <v>44</v>
      </c>
      <c r="C91" s="22" t="s">
        <v>53</v>
      </c>
      <c r="D91" s="23" t="n">
        <v>45574</v>
      </c>
      <c r="E91" s="24" t="n">
        <v>116000</v>
      </c>
      <c r="F91" s="25" t="n">
        <v>0.18</v>
      </c>
      <c r="G91" s="22" t="n">
        <v>6</v>
      </c>
      <c r="H91" s="24" t="n">
        <v>24100</v>
      </c>
      <c r="I91" s="22" t="n">
        <v>0</v>
      </c>
      <c r="J91" s="12" t="str">
        <f aca="false">IF(I91&lt;=0,"Current",IF(I91&lt;=30,"01-30 days",IF(I91&lt;=90,"31-90 days",IF(I91&lt;=180,"91-180 days","180+ days"))))</f>
        <v>Current</v>
      </c>
      <c r="K91" s="14" t="n">
        <f aca="false">INDEX(Assumptions!$B$11:$B$15,MATCH(J91,Assumptions!$A$11:$A$15,0))</f>
        <v>0.01</v>
      </c>
      <c r="L91" s="13" t="n">
        <f aca="false">H91*K91</f>
        <v>241</v>
      </c>
      <c r="M91" s="13" t="n">
        <f aca="false">IF(I91&gt;Assumptions!$B$5,H91,0)</f>
        <v>0</v>
      </c>
      <c r="N91" s="13" t="n">
        <f aca="false">IF(I91&gt;Assumptions!$B$6,H91,0)</f>
        <v>0</v>
      </c>
    </row>
    <row r="92" customFormat="false" ht="15" hidden="false" customHeight="false" outlineLevel="0" collapsed="false">
      <c r="A92" s="22" t="s">
        <v>176</v>
      </c>
      <c r="B92" s="22" t="s">
        <v>49</v>
      </c>
      <c r="C92" s="22" t="s">
        <v>56</v>
      </c>
      <c r="D92" s="23" t="n">
        <v>45873</v>
      </c>
      <c r="E92" s="24" t="n">
        <v>1306000</v>
      </c>
      <c r="F92" s="25" t="n">
        <v>0.16</v>
      </c>
      <c r="G92" s="22" t="n">
        <v>48</v>
      </c>
      <c r="H92" s="24" t="n">
        <v>758600</v>
      </c>
      <c r="I92" s="22" t="n">
        <v>0</v>
      </c>
      <c r="J92" s="12" t="str">
        <f aca="false">IF(I92&lt;=0,"Current",IF(I92&lt;=30,"01-30 days",IF(I92&lt;=90,"31-90 days",IF(I92&lt;=180,"91-180 days","180+ days"))))</f>
        <v>Current</v>
      </c>
      <c r="K92" s="14" t="n">
        <f aca="false">INDEX(Assumptions!$B$11:$B$15,MATCH(J92,Assumptions!$A$11:$A$15,0))</f>
        <v>0.01</v>
      </c>
      <c r="L92" s="13" t="n">
        <f aca="false">H92*K92</f>
        <v>7586</v>
      </c>
      <c r="M92" s="13" t="n">
        <f aca="false">IF(I92&gt;Assumptions!$B$5,H92,0)</f>
        <v>0</v>
      </c>
      <c r="N92" s="13" t="n">
        <f aca="false">IF(I92&gt;Assumptions!$B$6,H92,0)</f>
        <v>0</v>
      </c>
    </row>
    <row r="93" customFormat="false" ht="15" hidden="false" customHeight="false" outlineLevel="0" collapsed="false">
      <c r="A93" s="22" t="s">
        <v>177</v>
      </c>
      <c r="B93" s="22" t="s">
        <v>48</v>
      </c>
      <c r="C93" s="22" t="s">
        <v>52</v>
      </c>
      <c r="D93" s="23" t="n">
        <v>45854</v>
      </c>
      <c r="E93" s="24" t="n">
        <v>753000</v>
      </c>
      <c r="F93" s="25" t="n">
        <v>0.14</v>
      </c>
      <c r="G93" s="22" t="n">
        <v>36</v>
      </c>
      <c r="H93" s="24" t="n">
        <v>401500</v>
      </c>
      <c r="I93" s="22" t="n">
        <v>0</v>
      </c>
      <c r="J93" s="12" t="str">
        <f aca="false">IF(I93&lt;=0,"Current",IF(I93&lt;=30,"01-30 days",IF(I93&lt;=90,"31-90 days",IF(I93&lt;=180,"91-180 days","180+ days"))))</f>
        <v>Current</v>
      </c>
      <c r="K93" s="14" t="n">
        <f aca="false">INDEX(Assumptions!$B$11:$B$15,MATCH(J93,Assumptions!$A$11:$A$15,0))</f>
        <v>0.01</v>
      </c>
      <c r="L93" s="13" t="n">
        <f aca="false">H93*K93</f>
        <v>4015</v>
      </c>
      <c r="M93" s="13" t="n">
        <f aca="false">IF(I93&gt;Assumptions!$B$5,H93,0)</f>
        <v>0</v>
      </c>
      <c r="N93" s="13" t="n">
        <f aca="false">IF(I93&gt;Assumptions!$B$6,H93,0)</f>
        <v>0</v>
      </c>
    </row>
    <row r="94" customFormat="false" ht="15" hidden="false" customHeight="false" outlineLevel="0" collapsed="false">
      <c r="A94" s="22" t="s">
        <v>178</v>
      </c>
      <c r="B94" s="22" t="s">
        <v>47</v>
      </c>
      <c r="C94" s="22" t="s">
        <v>52</v>
      </c>
      <c r="D94" s="23" t="n">
        <v>45775</v>
      </c>
      <c r="E94" s="24" t="n">
        <v>495000</v>
      </c>
      <c r="F94" s="25" t="n">
        <v>0.14</v>
      </c>
      <c r="G94" s="22" t="n">
        <v>36</v>
      </c>
      <c r="H94" s="24" t="n">
        <v>444300</v>
      </c>
      <c r="I94" s="22" t="n">
        <v>0</v>
      </c>
      <c r="J94" s="12" t="str">
        <f aca="false">IF(I94&lt;=0,"Current",IF(I94&lt;=30,"01-30 days",IF(I94&lt;=90,"31-90 days",IF(I94&lt;=180,"91-180 days","180+ days"))))</f>
        <v>Current</v>
      </c>
      <c r="K94" s="14" t="n">
        <f aca="false">INDEX(Assumptions!$B$11:$B$15,MATCH(J94,Assumptions!$A$11:$A$15,0))</f>
        <v>0.01</v>
      </c>
      <c r="L94" s="13" t="n">
        <f aca="false">H94*K94</f>
        <v>4443</v>
      </c>
      <c r="M94" s="13" t="n">
        <f aca="false">IF(I94&gt;Assumptions!$B$5,H94,0)</f>
        <v>0</v>
      </c>
      <c r="N94" s="13" t="n">
        <f aca="false">IF(I94&gt;Assumptions!$B$6,H94,0)</f>
        <v>0</v>
      </c>
    </row>
    <row r="95" customFormat="false" ht="15" hidden="false" customHeight="false" outlineLevel="0" collapsed="false">
      <c r="A95" s="22" t="s">
        <v>179</v>
      </c>
      <c r="B95" s="22" t="s">
        <v>49</v>
      </c>
      <c r="C95" s="22" t="s">
        <v>55</v>
      </c>
      <c r="D95" s="23" t="n">
        <v>45611</v>
      </c>
      <c r="E95" s="24" t="n">
        <v>168000</v>
      </c>
      <c r="F95" s="25" t="n">
        <v>0.12</v>
      </c>
      <c r="G95" s="22" t="n">
        <v>12</v>
      </c>
      <c r="H95" s="24" t="n">
        <v>110600</v>
      </c>
      <c r="I95" s="22" t="n">
        <v>16</v>
      </c>
      <c r="J95" s="12" t="str">
        <f aca="false">IF(I95&lt;=0,"Current",IF(I95&lt;=30,"01-30 days",IF(I95&lt;=90,"31-90 days",IF(I95&lt;=180,"91-180 days","180+ days"))))</f>
        <v>01-30 days</v>
      </c>
      <c r="K95" s="14" t="n">
        <f aca="false">INDEX(Assumptions!$B$11:$B$15,MATCH(J95,Assumptions!$A$11:$A$15,0))</f>
        <v>0.05</v>
      </c>
      <c r="L95" s="13" t="n">
        <f aca="false">H95*K95</f>
        <v>5530</v>
      </c>
      <c r="M95" s="13" t="n">
        <f aca="false">IF(I95&gt;Assumptions!$B$5,H95,0)</f>
        <v>0</v>
      </c>
      <c r="N95" s="13" t="n">
        <f aca="false">IF(I95&gt;Assumptions!$B$6,H95,0)</f>
        <v>0</v>
      </c>
    </row>
    <row r="96" customFormat="false" ht="15" hidden="false" customHeight="false" outlineLevel="0" collapsed="false">
      <c r="A96" s="22" t="s">
        <v>180</v>
      </c>
      <c r="B96" s="22" t="s">
        <v>45</v>
      </c>
      <c r="C96" s="22" t="s">
        <v>54</v>
      </c>
      <c r="D96" s="23" t="n">
        <v>45582</v>
      </c>
      <c r="E96" s="24" t="n">
        <v>297000</v>
      </c>
      <c r="F96" s="25" t="n">
        <v>0.15</v>
      </c>
      <c r="G96" s="22" t="n">
        <v>24</v>
      </c>
      <c r="H96" s="24" t="n">
        <v>205300</v>
      </c>
      <c r="I96" s="22" t="n">
        <v>0</v>
      </c>
      <c r="J96" s="12" t="str">
        <f aca="false">IF(I96&lt;=0,"Current",IF(I96&lt;=30,"01-30 days",IF(I96&lt;=90,"31-90 days",IF(I96&lt;=180,"91-180 days","180+ days"))))</f>
        <v>Current</v>
      </c>
      <c r="K96" s="14" t="n">
        <f aca="false">INDEX(Assumptions!$B$11:$B$15,MATCH(J96,Assumptions!$A$11:$A$15,0))</f>
        <v>0.01</v>
      </c>
      <c r="L96" s="13" t="n">
        <f aca="false">H96*K96</f>
        <v>2053</v>
      </c>
      <c r="M96" s="13" t="n">
        <f aca="false">IF(I96&gt;Assumptions!$B$5,H96,0)</f>
        <v>0</v>
      </c>
      <c r="N96" s="13" t="n">
        <f aca="false">IF(I96&gt;Assumptions!$B$6,H96,0)</f>
        <v>0</v>
      </c>
    </row>
    <row r="97" customFormat="false" ht="15" hidden="false" customHeight="false" outlineLevel="0" collapsed="false">
      <c r="A97" s="22" t="s">
        <v>181</v>
      </c>
      <c r="B97" s="22" t="s">
        <v>47</v>
      </c>
      <c r="C97" s="22" t="s">
        <v>54</v>
      </c>
      <c r="D97" s="23" t="n">
        <v>45691</v>
      </c>
      <c r="E97" s="24" t="n">
        <v>63000</v>
      </c>
      <c r="F97" s="25" t="n">
        <v>0.15</v>
      </c>
      <c r="G97" s="22" t="n">
        <v>24</v>
      </c>
      <c r="H97" s="24" t="n">
        <v>13300</v>
      </c>
      <c r="I97" s="22" t="n">
        <v>111</v>
      </c>
      <c r="J97" s="12" t="str">
        <f aca="false">IF(I97&lt;=0,"Current",IF(I97&lt;=30,"01-30 days",IF(I97&lt;=90,"31-90 days",IF(I97&lt;=180,"91-180 days","180+ days"))))</f>
        <v>91-180 days</v>
      </c>
      <c r="K97" s="14" t="n">
        <f aca="false">INDEX(Assumptions!$B$11:$B$15,MATCH(J97,Assumptions!$A$11:$A$15,0))</f>
        <v>0.5</v>
      </c>
      <c r="L97" s="13" t="n">
        <f aca="false">H97*K97</f>
        <v>6650</v>
      </c>
      <c r="M97" s="13" t="n">
        <f aca="false">IF(I97&gt;Assumptions!$B$5,H97,0)</f>
        <v>13300</v>
      </c>
      <c r="N97" s="13" t="n">
        <f aca="false">IF(I97&gt;Assumptions!$B$6,H97,0)</f>
        <v>13300</v>
      </c>
    </row>
    <row r="98" customFormat="false" ht="15" hidden="false" customHeight="false" outlineLevel="0" collapsed="false">
      <c r="A98" s="22" t="s">
        <v>182</v>
      </c>
      <c r="B98" s="22" t="s">
        <v>44</v>
      </c>
      <c r="C98" s="22" t="s">
        <v>54</v>
      </c>
      <c r="D98" s="23" t="n">
        <v>46032</v>
      </c>
      <c r="E98" s="24" t="n">
        <v>433000</v>
      </c>
      <c r="F98" s="25" t="n">
        <v>0.15</v>
      </c>
      <c r="G98" s="22" t="n">
        <v>24</v>
      </c>
      <c r="H98" s="24" t="n">
        <v>215800</v>
      </c>
      <c r="I98" s="22" t="n">
        <v>0</v>
      </c>
      <c r="J98" s="12" t="str">
        <f aca="false">IF(I98&lt;=0,"Current",IF(I98&lt;=30,"01-30 days",IF(I98&lt;=90,"31-90 days",IF(I98&lt;=180,"91-180 days","180+ days"))))</f>
        <v>Current</v>
      </c>
      <c r="K98" s="14" t="n">
        <f aca="false">INDEX(Assumptions!$B$11:$B$15,MATCH(J98,Assumptions!$A$11:$A$15,0))</f>
        <v>0.01</v>
      </c>
      <c r="L98" s="13" t="n">
        <f aca="false">H98*K98</f>
        <v>2158</v>
      </c>
      <c r="M98" s="13" t="n">
        <f aca="false">IF(I98&gt;Assumptions!$B$5,H98,0)</f>
        <v>0</v>
      </c>
      <c r="N98" s="13" t="n">
        <f aca="false">IF(I98&gt;Assumptions!$B$6,H98,0)</f>
        <v>0</v>
      </c>
    </row>
    <row r="99" customFormat="false" ht="15" hidden="false" customHeight="false" outlineLevel="0" collapsed="false">
      <c r="A99" s="22" t="s">
        <v>183</v>
      </c>
      <c r="B99" s="22" t="s">
        <v>49</v>
      </c>
      <c r="C99" s="22" t="s">
        <v>52</v>
      </c>
      <c r="D99" s="23" t="n">
        <v>46065</v>
      </c>
      <c r="E99" s="24" t="n">
        <v>329000</v>
      </c>
      <c r="F99" s="25" t="n">
        <v>0.14</v>
      </c>
      <c r="G99" s="22" t="n">
        <v>36</v>
      </c>
      <c r="H99" s="24" t="n">
        <v>171800</v>
      </c>
      <c r="I99" s="22" t="n">
        <v>0</v>
      </c>
      <c r="J99" s="12" t="str">
        <f aca="false">IF(I99&lt;=0,"Current",IF(I99&lt;=30,"01-30 days",IF(I99&lt;=90,"31-90 days",IF(I99&lt;=180,"91-180 days","180+ days"))))</f>
        <v>Current</v>
      </c>
      <c r="K99" s="14" t="n">
        <f aca="false">INDEX(Assumptions!$B$11:$B$15,MATCH(J99,Assumptions!$A$11:$A$15,0))</f>
        <v>0.01</v>
      </c>
      <c r="L99" s="13" t="n">
        <f aca="false">H99*K99</f>
        <v>1718</v>
      </c>
      <c r="M99" s="13" t="n">
        <f aca="false">IF(I99&gt;Assumptions!$B$5,H99,0)</f>
        <v>0</v>
      </c>
      <c r="N99" s="13" t="n">
        <f aca="false">IF(I99&gt;Assumptions!$B$6,H99,0)</f>
        <v>0</v>
      </c>
    </row>
    <row r="100" customFormat="false" ht="15" hidden="false" customHeight="false" outlineLevel="0" collapsed="false">
      <c r="A100" s="22" t="s">
        <v>184</v>
      </c>
      <c r="B100" s="22" t="s">
        <v>45</v>
      </c>
      <c r="C100" s="22" t="s">
        <v>56</v>
      </c>
      <c r="D100" s="23" t="n">
        <v>45771</v>
      </c>
      <c r="E100" s="24" t="n">
        <v>401000</v>
      </c>
      <c r="F100" s="25" t="n">
        <v>0.16</v>
      </c>
      <c r="G100" s="22" t="n">
        <v>48</v>
      </c>
      <c r="H100" s="24" t="n">
        <v>362100</v>
      </c>
      <c r="I100" s="22" t="n">
        <v>0</v>
      </c>
      <c r="J100" s="12" t="str">
        <f aca="false">IF(I100&lt;=0,"Current",IF(I100&lt;=30,"01-30 days",IF(I100&lt;=90,"31-90 days",IF(I100&lt;=180,"91-180 days","180+ days"))))</f>
        <v>Current</v>
      </c>
      <c r="K100" s="14" t="n">
        <f aca="false">INDEX(Assumptions!$B$11:$B$15,MATCH(J100,Assumptions!$A$11:$A$15,0))</f>
        <v>0.01</v>
      </c>
      <c r="L100" s="13" t="n">
        <f aca="false">H100*K100</f>
        <v>3621</v>
      </c>
      <c r="M100" s="13" t="n">
        <f aca="false">IF(I100&gt;Assumptions!$B$5,H100,0)</f>
        <v>0</v>
      </c>
      <c r="N100" s="13" t="n">
        <f aca="false">IF(I100&gt;Assumptions!$B$6,H100,0)</f>
        <v>0</v>
      </c>
    </row>
    <row r="101" customFormat="false" ht="15" hidden="false" customHeight="false" outlineLevel="0" collapsed="false">
      <c r="A101" s="22" t="s">
        <v>185</v>
      </c>
      <c r="B101" s="22" t="s">
        <v>44</v>
      </c>
      <c r="C101" s="22" t="s">
        <v>53</v>
      </c>
      <c r="D101" s="23" t="n">
        <v>45412</v>
      </c>
      <c r="E101" s="24" t="n">
        <v>49000</v>
      </c>
      <c r="F101" s="25" t="n">
        <v>0.18</v>
      </c>
      <c r="G101" s="22" t="n">
        <v>6</v>
      </c>
      <c r="H101" s="24" t="n">
        <v>11700</v>
      </c>
      <c r="I101" s="22" t="n">
        <v>0</v>
      </c>
      <c r="J101" s="12" t="str">
        <f aca="false">IF(I101&lt;=0,"Current",IF(I101&lt;=30,"01-30 days",IF(I101&lt;=90,"31-90 days",IF(I101&lt;=180,"91-180 days","180+ days"))))</f>
        <v>Current</v>
      </c>
      <c r="K101" s="14" t="n">
        <f aca="false">INDEX(Assumptions!$B$11:$B$15,MATCH(J101,Assumptions!$A$11:$A$15,0))</f>
        <v>0.01</v>
      </c>
      <c r="L101" s="13" t="n">
        <f aca="false">H101*K101</f>
        <v>117</v>
      </c>
      <c r="M101" s="13" t="n">
        <f aca="false">IF(I101&gt;Assumptions!$B$5,H101,0)</f>
        <v>0</v>
      </c>
      <c r="N101" s="13" t="n">
        <f aca="false">IF(I101&gt;Assumptions!$B$6,H101,0)</f>
        <v>0</v>
      </c>
    </row>
    <row r="102" customFormat="false" ht="15" hidden="false" customHeight="false" outlineLevel="0" collapsed="false">
      <c r="A102" s="22" t="s">
        <v>186</v>
      </c>
      <c r="B102" s="22" t="s">
        <v>44</v>
      </c>
      <c r="C102" s="22" t="s">
        <v>52</v>
      </c>
      <c r="D102" s="23" t="n">
        <v>45560</v>
      </c>
      <c r="E102" s="24" t="n">
        <v>465000</v>
      </c>
      <c r="F102" s="25" t="n">
        <v>0.14</v>
      </c>
      <c r="G102" s="22" t="n">
        <v>36</v>
      </c>
      <c r="H102" s="24" t="n">
        <v>277200</v>
      </c>
      <c r="I102" s="22" t="n">
        <v>39</v>
      </c>
      <c r="J102" s="12" t="str">
        <f aca="false">IF(I102&lt;=0,"Current",IF(I102&lt;=30,"01-30 days",IF(I102&lt;=90,"31-90 days",IF(I102&lt;=180,"91-180 days","180+ days"))))</f>
        <v>31-90 days</v>
      </c>
      <c r="K102" s="14" t="n">
        <f aca="false">INDEX(Assumptions!$B$11:$B$15,MATCH(J102,Assumptions!$A$11:$A$15,0))</f>
        <v>0.25</v>
      </c>
      <c r="L102" s="13" t="n">
        <f aca="false">H102*K102</f>
        <v>69300</v>
      </c>
      <c r="M102" s="13" t="n">
        <f aca="false">IF(I102&gt;Assumptions!$B$5,H102,0)</f>
        <v>277200</v>
      </c>
      <c r="N102" s="13" t="n">
        <f aca="false">IF(I102&gt;Assumptions!$B$6,H102,0)</f>
        <v>0</v>
      </c>
    </row>
    <row r="103" customFormat="false" ht="15" hidden="false" customHeight="false" outlineLevel="0" collapsed="false">
      <c r="A103" s="22" t="s">
        <v>187</v>
      </c>
      <c r="B103" s="22" t="s">
        <v>47</v>
      </c>
      <c r="C103" s="22" t="s">
        <v>55</v>
      </c>
      <c r="D103" s="23" t="n">
        <v>45432</v>
      </c>
      <c r="E103" s="24" t="n">
        <v>123000</v>
      </c>
      <c r="F103" s="25" t="n">
        <v>0.12</v>
      </c>
      <c r="G103" s="22" t="n">
        <v>12</v>
      </c>
      <c r="H103" s="24" t="n">
        <v>96400</v>
      </c>
      <c r="I103" s="22" t="n">
        <v>0</v>
      </c>
      <c r="J103" s="12" t="str">
        <f aca="false">IF(I103&lt;=0,"Current",IF(I103&lt;=30,"01-30 days",IF(I103&lt;=90,"31-90 days",IF(I103&lt;=180,"91-180 days","180+ days"))))</f>
        <v>Current</v>
      </c>
      <c r="K103" s="14" t="n">
        <f aca="false">INDEX(Assumptions!$B$11:$B$15,MATCH(J103,Assumptions!$A$11:$A$15,0))</f>
        <v>0.01</v>
      </c>
      <c r="L103" s="13" t="n">
        <f aca="false">H103*K103</f>
        <v>964</v>
      </c>
      <c r="M103" s="13" t="n">
        <f aca="false">IF(I103&gt;Assumptions!$B$5,H103,0)</f>
        <v>0</v>
      </c>
      <c r="N103" s="13" t="n">
        <f aca="false">IF(I103&gt;Assumptions!$B$6,H103,0)</f>
        <v>0</v>
      </c>
    </row>
    <row r="104" customFormat="false" ht="15" hidden="false" customHeight="false" outlineLevel="0" collapsed="false">
      <c r="A104" s="22" t="s">
        <v>188</v>
      </c>
      <c r="B104" s="22" t="s">
        <v>49</v>
      </c>
      <c r="C104" s="22" t="s">
        <v>53</v>
      </c>
      <c r="D104" s="23" t="n">
        <v>45608</v>
      </c>
      <c r="E104" s="24" t="n">
        <v>81000</v>
      </c>
      <c r="F104" s="25" t="n">
        <v>0.18</v>
      </c>
      <c r="G104" s="22" t="n">
        <v>6</v>
      </c>
      <c r="H104" s="24" t="n">
        <v>45400</v>
      </c>
      <c r="I104" s="22" t="n">
        <v>0</v>
      </c>
      <c r="J104" s="12" t="str">
        <f aca="false">IF(I104&lt;=0,"Current",IF(I104&lt;=30,"01-30 days",IF(I104&lt;=90,"31-90 days",IF(I104&lt;=180,"91-180 days","180+ days"))))</f>
        <v>Current</v>
      </c>
      <c r="K104" s="14" t="n">
        <f aca="false">INDEX(Assumptions!$B$11:$B$15,MATCH(J104,Assumptions!$A$11:$A$15,0))</f>
        <v>0.01</v>
      </c>
      <c r="L104" s="13" t="n">
        <f aca="false">H104*K104</f>
        <v>454</v>
      </c>
      <c r="M104" s="13" t="n">
        <f aca="false">IF(I104&gt;Assumptions!$B$5,H104,0)</f>
        <v>0</v>
      </c>
      <c r="N104" s="13" t="n">
        <f aca="false">IF(I104&gt;Assumptions!$B$6,H104,0)</f>
        <v>0</v>
      </c>
    </row>
    <row r="105" customFormat="false" ht="15" hidden="false" customHeight="false" outlineLevel="0" collapsed="false">
      <c r="A105" s="22" t="s">
        <v>189</v>
      </c>
      <c r="B105" s="22" t="s">
        <v>48</v>
      </c>
      <c r="C105" s="22" t="s">
        <v>56</v>
      </c>
      <c r="D105" s="23" t="n">
        <v>46034</v>
      </c>
      <c r="E105" s="24" t="n">
        <v>935000</v>
      </c>
      <c r="F105" s="25" t="n">
        <v>0.16</v>
      </c>
      <c r="G105" s="22" t="n">
        <v>48</v>
      </c>
      <c r="H105" s="24" t="n">
        <v>379700</v>
      </c>
      <c r="I105" s="22" t="n">
        <v>0</v>
      </c>
      <c r="J105" s="12" t="str">
        <f aca="false">IF(I105&lt;=0,"Current",IF(I105&lt;=30,"01-30 days",IF(I105&lt;=90,"31-90 days",IF(I105&lt;=180,"91-180 days","180+ days"))))</f>
        <v>Current</v>
      </c>
      <c r="K105" s="14" t="n">
        <f aca="false">INDEX(Assumptions!$B$11:$B$15,MATCH(J105,Assumptions!$A$11:$A$15,0))</f>
        <v>0.01</v>
      </c>
      <c r="L105" s="13" t="n">
        <f aca="false">H105*K105</f>
        <v>3797</v>
      </c>
      <c r="M105" s="13" t="n">
        <f aca="false">IF(I105&gt;Assumptions!$B$5,H105,0)</f>
        <v>0</v>
      </c>
      <c r="N105" s="13" t="n">
        <f aca="false">IF(I105&gt;Assumptions!$B$6,H105,0)</f>
        <v>0</v>
      </c>
    </row>
    <row r="106" customFormat="false" ht="15" hidden="false" customHeight="false" outlineLevel="0" collapsed="false">
      <c r="A106" s="22" t="s">
        <v>190</v>
      </c>
      <c r="B106" s="22" t="s">
        <v>47</v>
      </c>
      <c r="C106" s="22" t="s">
        <v>56</v>
      </c>
      <c r="D106" s="23" t="n">
        <v>45486</v>
      </c>
      <c r="E106" s="24" t="n">
        <v>589000</v>
      </c>
      <c r="F106" s="25" t="n">
        <v>0.16</v>
      </c>
      <c r="G106" s="22" t="n">
        <v>48</v>
      </c>
      <c r="H106" s="24" t="n">
        <v>397500</v>
      </c>
      <c r="I106" s="22" t="n">
        <v>0</v>
      </c>
      <c r="J106" s="12" t="str">
        <f aca="false">IF(I106&lt;=0,"Current",IF(I106&lt;=30,"01-30 days",IF(I106&lt;=90,"31-90 days",IF(I106&lt;=180,"91-180 days","180+ days"))))</f>
        <v>Current</v>
      </c>
      <c r="K106" s="14" t="n">
        <f aca="false">INDEX(Assumptions!$B$11:$B$15,MATCH(J106,Assumptions!$A$11:$A$15,0))</f>
        <v>0.01</v>
      </c>
      <c r="L106" s="13" t="n">
        <f aca="false">H106*K106</f>
        <v>3975</v>
      </c>
      <c r="M106" s="13" t="n">
        <f aca="false">IF(I106&gt;Assumptions!$B$5,H106,0)</f>
        <v>0</v>
      </c>
      <c r="N106" s="13" t="n">
        <f aca="false">IF(I106&gt;Assumptions!$B$6,H106,0)</f>
        <v>0</v>
      </c>
    </row>
    <row r="107" customFormat="false" ht="15" hidden="false" customHeight="false" outlineLevel="0" collapsed="false">
      <c r="A107" s="22" t="s">
        <v>191</v>
      </c>
      <c r="B107" s="22" t="s">
        <v>49</v>
      </c>
      <c r="C107" s="22" t="s">
        <v>56</v>
      </c>
      <c r="D107" s="23" t="n">
        <v>45930</v>
      </c>
      <c r="E107" s="24" t="n">
        <v>601000</v>
      </c>
      <c r="F107" s="25" t="n">
        <v>0.16</v>
      </c>
      <c r="G107" s="22" t="n">
        <v>48</v>
      </c>
      <c r="H107" s="24" t="n">
        <v>516300</v>
      </c>
      <c r="I107" s="22" t="n">
        <v>31</v>
      </c>
      <c r="J107" s="12" t="str">
        <f aca="false">IF(I107&lt;=0,"Current",IF(I107&lt;=30,"01-30 days",IF(I107&lt;=90,"31-90 days",IF(I107&lt;=180,"91-180 days","180+ days"))))</f>
        <v>31-90 days</v>
      </c>
      <c r="K107" s="14" t="n">
        <f aca="false">INDEX(Assumptions!$B$11:$B$15,MATCH(J107,Assumptions!$A$11:$A$15,0))</f>
        <v>0.25</v>
      </c>
      <c r="L107" s="13" t="n">
        <f aca="false">H107*K107</f>
        <v>129075</v>
      </c>
      <c r="M107" s="13" t="n">
        <f aca="false">IF(I107&gt;Assumptions!$B$5,H107,0)</f>
        <v>516300</v>
      </c>
      <c r="N107" s="13" t="n">
        <f aca="false">IF(I107&gt;Assumptions!$B$6,H107,0)</f>
        <v>0</v>
      </c>
    </row>
    <row r="108" customFormat="false" ht="15" hidden="false" customHeight="false" outlineLevel="0" collapsed="false">
      <c r="A108" s="22" t="s">
        <v>192</v>
      </c>
      <c r="B108" s="22" t="s">
        <v>44</v>
      </c>
      <c r="C108" s="22" t="s">
        <v>53</v>
      </c>
      <c r="D108" s="23" t="n">
        <v>45674</v>
      </c>
      <c r="E108" s="24" t="n">
        <v>91000</v>
      </c>
      <c r="F108" s="25" t="n">
        <v>0.18</v>
      </c>
      <c r="G108" s="22" t="n">
        <v>6</v>
      </c>
      <c r="H108" s="24" t="n">
        <v>23100</v>
      </c>
      <c r="I108" s="22" t="n">
        <v>41</v>
      </c>
      <c r="J108" s="12" t="str">
        <f aca="false">IF(I108&lt;=0,"Current",IF(I108&lt;=30,"01-30 days",IF(I108&lt;=90,"31-90 days",IF(I108&lt;=180,"91-180 days","180+ days"))))</f>
        <v>31-90 days</v>
      </c>
      <c r="K108" s="14" t="n">
        <f aca="false">INDEX(Assumptions!$B$11:$B$15,MATCH(J108,Assumptions!$A$11:$A$15,0))</f>
        <v>0.25</v>
      </c>
      <c r="L108" s="13" t="n">
        <f aca="false">H108*K108</f>
        <v>5775</v>
      </c>
      <c r="M108" s="13" t="n">
        <f aca="false">IF(I108&gt;Assumptions!$B$5,H108,0)</f>
        <v>23100</v>
      </c>
      <c r="N108" s="13" t="n">
        <f aca="false">IF(I108&gt;Assumptions!$B$6,H108,0)</f>
        <v>0</v>
      </c>
    </row>
    <row r="109" customFormat="false" ht="15" hidden="false" customHeight="false" outlineLevel="0" collapsed="false">
      <c r="A109" s="22" t="s">
        <v>193</v>
      </c>
      <c r="B109" s="22" t="s">
        <v>46</v>
      </c>
      <c r="C109" s="22" t="s">
        <v>54</v>
      </c>
      <c r="D109" s="23" t="n">
        <v>45428</v>
      </c>
      <c r="E109" s="24" t="n">
        <v>157000</v>
      </c>
      <c r="F109" s="25" t="n">
        <v>0.15</v>
      </c>
      <c r="G109" s="22" t="n">
        <v>24</v>
      </c>
      <c r="H109" s="24" t="n">
        <v>71200</v>
      </c>
      <c r="I109" s="22" t="n">
        <v>0</v>
      </c>
      <c r="J109" s="12" t="str">
        <f aca="false">IF(I109&lt;=0,"Current",IF(I109&lt;=30,"01-30 days",IF(I109&lt;=90,"31-90 days",IF(I109&lt;=180,"91-180 days","180+ days"))))</f>
        <v>Current</v>
      </c>
      <c r="K109" s="14" t="n">
        <f aca="false">INDEX(Assumptions!$B$11:$B$15,MATCH(J109,Assumptions!$A$11:$A$15,0))</f>
        <v>0.01</v>
      </c>
      <c r="L109" s="13" t="n">
        <f aca="false">H109*K109</f>
        <v>712</v>
      </c>
      <c r="M109" s="13" t="n">
        <f aca="false">IF(I109&gt;Assumptions!$B$5,H109,0)</f>
        <v>0</v>
      </c>
      <c r="N109" s="13" t="n">
        <f aca="false">IF(I109&gt;Assumptions!$B$6,H109,0)</f>
        <v>0</v>
      </c>
    </row>
    <row r="110" customFormat="false" ht="15" hidden="false" customHeight="false" outlineLevel="0" collapsed="false">
      <c r="A110" s="22" t="s">
        <v>194</v>
      </c>
      <c r="B110" s="22" t="s">
        <v>48</v>
      </c>
      <c r="C110" s="22" t="s">
        <v>52</v>
      </c>
      <c r="D110" s="23" t="n">
        <v>46150</v>
      </c>
      <c r="E110" s="24" t="n">
        <v>222000</v>
      </c>
      <c r="F110" s="25" t="n">
        <v>0.14</v>
      </c>
      <c r="G110" s="22" t="n">
        <v>36</v>
      </c>
      <c r="H110" s="24" t="n">
        <v>118900</v>
      </c>
      <c r="I110" s="22" t="n">
        <v>0</v>
      </c>
      <c r="J110" s="12" t="str">
        <f aca="false">IF(I110&lt;=0,"Current",IF(I110&lt;=30,"01-30 days",IF(I110&lt;=90,"31-90 days",IF(I110&lt;=180,"91-180 days","180+ days"))))</f>
        <v>Current</v>
      </c>
      <c r="K110" s="14" t="n">
        <f aca="false">INDEX(Assumptions!$B$11:$B$15,MATCH(J110,Assumptions!$A$11:$A$15,0))</f>
        <v>0.01</v>
      </c>
      <c r="L110" s="13" t="n">
        <f aca="false">H110*K110</f>
        <v>1189</v>
      </c>
      <c r="M110" s="13" t="n">
        <f aca="false">IF(I110&gt;Assumptions!$B$5,H110,0)</f>
        <v>0</v>
      </c>
      <c r="N110" s="13" t="n">
        <f aca="false">IF(I110&gt;Assumptions!$B$6,H110,0)</f>
        <v>0</v>
      </c>
    </row>
    <row r="111" customFormat="false" ht="15" hidden="false" customHeight="false" outlineLevel="0" collapsed="false">
      <c r="A111" s="22" t="s">
        <v>195</v>
      </c>
      <c r="B111" s="22" t="s">
        <v>48</v>
      </c>
      <c r="C111" s="22" t="s">
        <v>53</v>
      </c>
      <c r="D111" s="23" t="n">
        <v>46121</v>
      </c>
      <c r="E111" s="24" t="n">
        <v>133000</v>
      </c>
      <c r="F111" s="25" t="n">
        <v>0.18</v>
      </c>
      <c r="G111" s="22" t="n">
        <v>6</v>
      </c>
      <c r="H111" s="24" t="n">
        <v>68900</v>
      </c>
      <c r="I111" s="22" t="n">
        <v>0</v>
      </c>
      <c r="J111" s="12" t="str">
        <f aca="false">IF(I111&lt;=0,"Current",IF(I111&lt;=30,"01-30 days",IF(I111&lt;=90,"31-90 days",IF(I111&lt;=180,"91-180 days","180+ days"))))</f>
        <v>Current</v>
      </c>
      <c r="K111" s="14" t="n">
        <f aca="false">INDEX(Assumptions!$B$11:$B$15,MATCH(J111,Assumptions!$A$11:$A$15,0))</f>
        <v>0.01</v>
      </c>
      <c r="L111" s="13" t="n">
        <f aca="false">H111*K111</f>
        <v>689</v>
      </c>
      <c r="M111" s="13" t="n">
        <f aca="false">IF(I111&gt;Assumptions!$B$5,H111,0)</f>
        <v>0</v>
      </c>
      <c r="N111" s="13" t="n">
        <f aca="false">IF(I111&gt;Assumptions!$B$6,H111,0)</f>
        <v>0</v>
      </c>
    </row>
    <row r="112" customFormat="false" ht="15" hidden="false" customHeight="false" outlineLevel="0" collapsed="false">
      <c r="A112" s="22" t="s">
        <v>196</v>
      </c>
      <c r="B112" s="22" t="s">
        <v>44</v>
      </c>
      <c r="C112" s="22" t="s">
        <v>53</v>
      </c>
      <c r="D112" s="23" t="n">
        <v>46137</v>
      </c>
      <c r="E112" s="24" t="n">
        <v>103000</v>
      </c>
      <c r="F112" s="25" t="n">
        <v>0.18</v>
      </c>
      <c r="G112" s="22" t="n">
        <v>6</v>
      </c>
      <c r="H112" s="24" t="n">
        <v>43100</v>
      </c>
      <c r="I112" s="22" t="n">
        <v>0</v>
      </c>
      <c r="J112" s="12" t="str">
        <f aca="false">IF(I112&lt;=0,"Current",IF(I112&lt;=30,"01-30 days",IF(I112&lt;=90,"31-90 days",IF(I112&lt;=180,"91-180 days","180+ days"))))</f>
        <v>Current</v>
      </c>
      <c r="K112" s="14" t="n">
        <f aca="false">INDEX(Assumptions!$B$11:$B$15,MATCH(J112,Assumptions!$A$11:$A$15,0))</f>
        <v>0.01</v>
      </c>
      <c r="L112" s="13" t="n">
        <f aca="false">H112*K112</f>
        <v>431</v>
      </c>
      <c r="M112" s="13" t="n">
        <f aca="false">IF(I112&gt;Assumptions!$B$5,H112,0)</f>
        <v>0</v>
      </c>
      <c r="N112" s="13" t="n">
        <f aca="false">IF(I112&gt;Assumptions!$B$6,H112,0)</f>
        <v>0</v>
      </c>
    </row>
    <row r="113" customFormat="false" ht="15" hidden="false" customHeight="false" outlineLevel="0" collapsed="false">
      <c r="A113" s="22" t="s">
        <v>197</v>
      </c>
      <c r="B113" s="22" t="s">
        <v>49</v>
      </c>
      <c r="C113" s="22" t="s">
        <v>55</v>
      </c>
      <c r="D113" s="23" t="n">
        <v>45869</v>
      </c>
      <c r="E113" s="24" t="n">
        <v>197000</v>
      </c>
      <c r="F113" s="25" t="n">
        <v>0.12</v>
      </c>
      <c r="G113" s="22" t="n">
        <v>12</v>
      </c>
      <c r="H113" s="24" t="n">
        <v>94000</v>
      </c>
      <c r="I113" s="22" t="n">
        <v>29</v>
      </c>
      <c r="J113" s="12" t="str">
        <f aca="false">IF(I113&lt;=0,"Current",IF(I113&lt;=30,"01-30 days",IF(I113&lt;=90,"31-90 days",IF(I113&lt;=180,"91-180 days","180+ days"))))</f>
        <v>01-30 days</v>
      </c>
      <c r="K113" s="14" t="n">
        <f aca="false">INDEX(Assumptions!$B$11:$B$15,MATCH(J113,Assumptions!$A$11:$A$15,0))</f>
        <v>0.05</v>
      </c>
      <c r="L113" s="13" t="n">
        <f aca="false">H113*K113</f>
        <v>4700</v>
      </c>
      <c r="M113" s="13" t="n">
        <f aca="false">IF(I113&gt;Assumptions!$B$5,H113,0)</f>
        <v>0</v>
      </c>
      <c r="N113" s="13" t="n">
        <f aca="false">IF(I113&gt;Assumptions!$B$6,H113,0)</f>
        <v>0</v>
      </c>
    </row>
    <row r="114" customFormat="false" ht="15" hidden="false" customHeight="false" outlineLevel="0" collapsed="false">
      <c r="A114" s="22" t="s">
        <v>198</v>
      </c>
      <c r="B114" s="22" t="s">
        <v>47</v>
      </c>
      <c r="C114" s="22" t="s">
        <v>55</v>
      </c>
      <c r="D114" s="23" t="n">
        <v>45603</v>
      </c>
      <c r="E114" s="24" t="n">
        <v>106000</v>
      </c>
      <c r="F114" s="25" t="n">
        <v>0.12</v>
      </c>
      <c r="G114" s="22" t="n">
        <v>12</v>
      </c>
      <c r="H114" s="24" t="n">
        <v>86700</v>
      </c>
      <c r="I114" s="22" t="n">
        <v>10</v>
      </c>
      <c r="J114" s="12" t="str">
        <f aca="false">IF(I114&lt;=0,"Current",IF(I114&lt;=30,"01-30 days",IF(I114&lt;=90,"31-90 days",IF(I114&lt;=180,"91-180 days","180+ days"))))</f>
        <v>01-30 days</v>
      </c>
      <c r="K114" s="14" t="n">
        <f aca="false">INDEX(Assumptions!$B$11:$B$15,MATCH(J114,Assumptions!$A$11:$A$15,0))</f>
        <v>0.05</v>
      </c>
      <c r="L114" s="13" t="n">
        <f aca="false">H114*K114</f>
        <v>4335</v>
      </c>
      <c r="M114" s="13" t="n">
        <f aca="false">IF(I114&gt;Assumptions!$B$5,H114,0)</f>
        <v>0</v>
      </c>
      <c r="N114" s="13" t="n">
        <f aca="false">IF(I114&gt;Assumptions!$B$6,H114,0)</f>
        <v>0</v>
      </c>
    </row>
    <row r="115" customFormat="false" ht="15" hidden="false" customHeight="false" outlineLevel="0" collapsed="false">
      <c r="A115" s="22" t="s">
        <v>199</v>
      </c>
      <c r="B115" s="22" t="s">
        <v>46</v>
      </c>
      <c r="C115" s="22" t="s">
        <v>54</v>
      </c>
      <c r="D115" s="23" t="n">
        <v>45622</v>
      </c>
      <c r="E115" s="24" t="n">
        <v>194000</v>
      </c>
      <c r="F115" s="25" t="n">
        <v>0.15</v>
      </c>
      <c r="G115" s="22" t="n">
        <v>24</v>
      </c>
      <c r="H115" s="24" t="n">
        <v>167100</v>
      </c>
      <c r="I115" s="22" t="n">
        <v>274</v>
      </c>
      <c r="J115" s="12" t="str">
        <f aca="false">IF(I115&lt;=0,"Current",IF(I115&lt;=30,"01-30 days",IF(I115&lt;=90,"31-90 days",IF(I115&lt;=180,"91-180 days","180+ days"))))</f>
        <v>180+ days</v>
      </c>
      <c r="K115" s="14" t="n">
        <f aca="false">INDEX(Assumptions!$B$11:$B$15,MATCH(J115,Assumptions!$A$11:$A$15,0))</f>
        <v>1</v>
      </c>
      <c r="L115" s="13" t="n">
        <f aca="false">H115*K115</f>
        <v>167100</v>
      </c>
      <c r="M115" s="13" t="n">
        <f aca="false">IF(I115&gt;Assumptions!$B$5,H115,0)</f>
        <v>167100</v>
      </c>
      <c r="N115" s="13" t="n">
        <f aca="false">IF(I115&gt;Assumptions!$B$6,H115,0)</f>
        <v>167100</v>
      </c>
    </row>
    <row r="116" customFormat="false" ht="15" hidden="false" customHeight="false" outlineLevel="0" collapsed="false">
      <c r="A116" s="22" t="s">
        <v>200</v>
      </c>
      <c r="B116" s="22" t="s">
        <v>48</v>
      </c>
      <c r="C116" s="22" t="s">
        <v>56</v>
      </c>
      <c r="D116" s="23" t="n">
        <v>45577</v>
      </c>
      <c r="E116" s="24" t="n">
        <v>1418000</v>
      </c>
      <c r="F116" s="25" t="n">
        <v>0.16</v>
      </c>
      <c r="G116" s="22" t="n">
        <v>48</v>
      </c>
      <c r="H116" s="24" t="n">
        <v>1260500</v>
      </c>
      <c r="I116" s="22" t="n">
        <v>0</v>
      </c>
      <c r="J116" s="12" t="str">
        <f aca="false">IF(I116&lt;=0,"Current",IF(I116&lt;=30,"01-30 days",IF(I116&lt;=90,"31-90 days",IF(I116&lt;=180,"91-180 days","180+ days"))))</f>
        <v>Current</v>
      </c>
      <c r="K116" s="14" t="n">
        <f aca="false">INDEX(Assumptions!$B$11:$B$15,MATCH(J116,Assumptions!$A$11:$A$15,0))</f>
        <v>0.01</v>
      </c>
      <c r="L116" s="13" t="n">
        <f aca="false">H116*K116</f>
        <v>12605</v>
      </c>
      <c r="M116" s="13" t="n">
        <f aca="false">IF(I116&gt;Assumptions!$B$5,H116,0)</f>
        <v>0</v>
      </c>
      <c r="N116" s="13" t="n">
        <f aca="false">IF(I116&gt;Assumptions!$B$6,H116,0)</f>
        <v>0</v>
      </c>
    </row>
    <row r="117" customFormat="false" ht="15" hidden="false" customHeight="false" outlineLevel="0" collapsed="false">
      <c r="A117" s="22" t="s">
        <v>201</v>
      </c>
      <c r="B117" s="22" t="s">
        <v>46</v>
      </c>
      <c r="C117" s="22" t="s">
        <v>54</v>
      </c>
      <c r="D117" s="23" t="n">
        <v>46039</v>
      </c>
      <c r="E117" s="24" t="n">
        <v>284000</v>
      </c>
      <c r="F117" s="25" t="n">
        <v>0.15</v>
      </c>
      <c r="G117" s="22" t="n">
        <v>24</v>
      </c>
      <c r="H117" s="24" t="n">
        <v>124500</v>
      </c>
      <c r="I117" s="22" t="n">
        <v>0</v>
      </c>
      <c r="J117" s="12" t="str">
        <f aca="false">IF(I117&lt;=0,"Current",IF(I117&lt;=30,"01-30 days",IF(I117&lt;=90,"31-90 days",IF(I117&lt;=180,"91-180 days","180+ days"))))</f>
        <v>Current</v>
      </c>
      <c r="K117" s="14" t="n">
        <f aca="false">INDEX(Assumptions!$B$11:$B$15,MATCH(J117,Assumptions!$A$11:$A$15,0))</f>
        <v>0.01</v>
      </c>
      <c r="L117" s="13" t="n">
        <f aca="false">H117*K117</f>
        <v>1245</v>
      </c>
      <c r="M117" s="13" t="n">
        <f aca="false">IF(I117&gt;Assumptions!$B$5,H117,0)</f>
        <v>0</v>
      </c>
      <c r="N117" s="13" t="n">
        <f aca="false">IF(I117&gt;Assumptions!$B$6,H117,0)</f>
        <v>0</v>
      </c>
    </row>
    <row r="118" customFormat="false" ht="15" hidden="false" customHeight="false" outlineLevel="0" collapsed="false">
      <c r="A118" s="22" t="s">
        <v>202</v>
      </c>
      <c r="B118" s="22" t="s">
        <v>49</v>
      </c>
      <c r="C118" s="22" t="s">
        <v>53</v>
      </c>
      <c r="D118" s="23" t="n">
        <v>45664</v>
      </c>
      <c r="E118" s="24" t="n">
        <v>41000</v>
      </c>
      <c r="F118" s="25" t="n">
        <v>0.18</v>
      </c>
      <c r="G118" s="22" t="n">
        <v>6</v>
      </c>
      <c r="H118" s="24" t="n">
        <v>19300</v>
      </c>
      <c r="I118" s="22" t="n">
        <v>0</v>
      </c>
      <c r="J118" s="12" t="str">
        <f aca="false">IF(I118&lt;=0,"Current",IF(I118&lt;=30,"01-30 days",IF(I118&lt;=90,"31-90 days",IF(I118&lt;=180,"91-180 days","180+ days"))))</f>
        <v>Current</v>
      </c>
      <c r="K118" s="14" t="n">
        <f aca="false">INDEX(Assumptions!$B$11:$B$15,MATCH(J118,Assumptions!$A$11:$A$15,0))</f>
        <v>0.01</v>
      </c>
      <c r="L118" s="13" t="n">
        <f aca="false">H118*K118</f>
        <v>193</v>
      </c>
      <c r="M118" s="13" t="n">
        <f aca="false">IF(I118&gt;Assumptions!$B$5,H118,0)</f>
        <v>0</v>
      </c>
      <c r="N118" s="13" t="n">
        <f aca="false">IF(I118&gt;Assumptions!$B$6,H118,0)</f>
        <v>0</v>
      </c>
    </row>
    <row r="119" customFormat="false" ht="15" hidden="false" customHeight="false" outlineLevel="0" collapsed="false">
      <c r="A119" s="22" t="s">
        <v>203</v>
      </c>
      <c r="B119" s="22" t="s">
        <v>47</v>
      </c>
      <c r="C119" s="22" t="s">
        <v>56</v>
      </c>
      <c r="D119" s="23" t="n">
        <v>45669</v>
      </c>
      <c r="E119" s="24" t="n">
        <v>993000</v>
      </c>
      <c r="F119" s="25" t="n">
        <v>0.16</v>
      </c>
      <c r="G119" s="22" t="n">
        <v>48</v>
      </c>
      <c r="H119" s="24" t="n">
        <v>791500</v>
      </c>
      <c r="I119" s="22" t="n">
        <v>0</v>
      </c>
      <c r="J119" s="12" t="str">
        <f aca="false">IF(I119&lt;=0,"Current",IF(I119&lt;=30,"01-30 days",IF(I119&lt;=90,"31-90 days",IF(I119&lt;=180,"91-180 days","180+ days"))))</f>
        <v>Current</v>
      </c>
      <c r="K119" s="14" t="n">
        <f aca="false">INDEX(Assumptions!$B$11:$B$15,MATCH(J119,Assumptions!$A$11:$A$15,0))</f>
        <v>0.01</v>
      </c>
      <c r="L119" s="13" t="n">
        <f aca="false">H119*K119</f>
        <v>7915</v>
      </c>
      <c r="M119" s="13" t="n">
        <f aca="false">IF(I119&gt;Assumptions!$B$5,H119,0)</f>
        <v>0</v>
      </c>
      <c r="N119" s="13" t="n">
        <f aca="false">IF(I119&gt;Assumptions!$B$6,H119,0)</f>
        <v>0</v>
      </c>
    </row>
    <row r="120" customFormat="false" ht="15" hidden="false" customHeight="false" outlineLevel="0" collapsed="false">
      <c r="A120" s="22" t="s">
        <v>204</v>
      </c>
      <c r="B120" s="22" t="s">
        <v>48</v>
      </c>
      <c r="C120" s="22" t="s">
        <v>56</v>
      </c>
      <c r="D120" s="23" t="n">
        <v>45472</v>
      </c>
      <c r="E120" s="24" t="n">
        <v>517000</v>
      </c>
      <c r="F120" s="25" t="n">
        <v>0.16</v>
      </c>
      <c r="G120" s="22" t="n">
        <v>48</v>
      </c>
      <c r="H120" s="24" t="n">
        <v>427700</v>
      </c>
      <c r="I120" s="22" t="n">
        <v>0</v>
      </c>
      <c r="J120" s="12" t="str">
        <f aca="false">IF(I120&lt;=0,"Current",IF(I120&lt;=30,"01-30 days",IF(I120&lt;=90,"31-90 days",IF(I120&lt;=180,"91-180 days","180+ days"))))</f>
        <v>Current</v>
      </c>
      <c r="K120" s="14" t="n">
        <f aca="false">INDEX(Assumptions!$B$11:$B$15,MATCH(J120,Assumptions!$A$11:$A$15,0))</f>
        <v>0.01</v>
      </c>
      <c r="L120" s="13" t="n">
        <f aca="false">H120*K120</f>
        <v>4277</v>
      </c>
      <c r="M120" s="13" t="n">
        <f aca="false">IF(I120&gt;Assumptions!$B$5,H120,0)</f>
        <v>0</v>
      </c>
      <c r="N120" s="13" t="n">
        <f aca="false">IF(I120&gt;Assumptions!$B$6,H120,0)</f>
        <v>0</v>
      </c>
    </row>
    <row r="121" customFormat="false" ht="15" hidden="false" customHeight="false" outlineLevel="0" collapsed="false">
      <c r="A121" s="22" t="s">
        <v>205</v>
      </c>
      <c r="B121" s="22" t="s">
        <v>44</v>
      </c>
      <c r="C121" s="22" t="s">
        <v>55</v>
      </c>
      <c r="D121" s="23" t="n">
        <v>45314</v>
      </c>
      <c r="E121" s="24" t="n">
        <v>248000</v>
      </c>
      <c r="F121" s="25" t="n">
        <v>0.12</v>
      </c>
      <c r="G121" s="22" t="n">
        <v>12</v>
      </c>
      <c r="H121" s="24" t="n">
        <v>102000</v>
      </c>
      <c r="I121" s="22" t="n">
        <v>34</v>
      </c>
      <c r="J121" s="12" t="str">
        <f aca="false">IF(I121&lt;=0,"Current",IF(I121&lt;=30,"01-30 days",IF(I121&lt;=90,"31-90 days",IF(I121&lt;=180,"91-180 days","180+ days"))))</f>
        <v>31-90 days</v>
      </c>
      <c r="K121" s="14" t="n">
        <f aca="false">INDEX(Assumptions!$B$11:$B$15,MATCH(J121,Assumptions!$A$11:$A$15,0))</f>
        <v>0.25</v>
      </c>
      <c r="L121" s="13" t="n">
        <f aca="false">H121*K121</f>
        <v>25500</v>
      </c>
      <c r="M121" s="13" t="n">
        <f aca="false">IF(I121&gt;Assumptions!$B$5,H121,0)</f>
        <v>102000</v>
      </c>
      <c r="N121" s="13" t="n">
        <f aca="false">IF(I121&gt;Assumptions!$B$6,H121,0)</f>
        <v>0</v>
      </c>
    </row>
    <row r="122" customFormat="false" ht="15" hidden="false" customHeight="false" outlineLevel="0" collapsed="false">
      <c r="A122" s="22" t="s">
        <v>206</v>
      </c>
      <c r="B122" s="22" t="s">
        <v>47</v>
      </c>
      <c r="C122" s="22" t="s">
        <v>55</v>
      </c>
      <c r="D122" s="23" t="n">
        <v>45850</v>
      </c>
      <c r="E122" s="24" t="n">
        <v>46000</v>
      </c>
      <c r="F122" s="25" t="n">
        <v>0.12</v>
      </c>
      <c r="G122" s="22" t="n">
        <v>12</v>
      </c>
      <c r="H122" s="24" t="n">
        <v>29300</v>
      </c>
      <c r="I122" s="22" t="n">
        <v>0</v>
      </c>
      <c r="J122" s="12" t="str">
        <f aca="false">IF(I122&lt;=0,"Current",IF(I122&lt;=30,"01-30 days",IF(I122&lt;=90,"31-90 days",IF(I122&lt;=180,"91-180 days","180+ days"))))</f>
        <v>Current</v>
      </c>
      <c r="K122" s="14" t="n">
        <f aca="false">INDEX(Assumptions!$B$11:$B$15,MATCH(J122,Assumptions!$A$11:$A$15,0))</f>
        <v>0.01</v>
      </c>
      <c r="L122" s="13" t="n">
        <f aca="false">H122*K122</f>
        <v>293</v>
      </c>
      <c r="M122" s="13" t="n">
        <f aca="false">IF(I122&gt;Assumptions!$B$5,H122,0)</f>
        <v>0</v>
      </c>
      <c r="N122" s="13" t="n">
        <f aca="false">IF(I122&gt;Assumptions!$B$6,H122,0)</f>
        <v>0</v>
      </c>
    </row>
    <row r="123" customFormat="false" ht="15" hidden="false" customHeight="false" outlineLevel="0" collapsed="false">
      <c r="A123" s="22" t="s">
        <v>207</v>
      </c>
      <c r="B123" s="22" t="s">
        <v>44</v>
      </c>
      <c r="C123" s="22" t="s">
        <v>52</v>
      </c>
      <c r="D123" s="23" t="n">
        <v>45378</v>
      </c>
      <c r="E123" s="24" t="n">
        <v>380000</v>
      </c>
      <c r="F123" s="25" t="n">
        <v>0.14</v>
      </c>
      <c r="G123" s="22" t="n">
        <v>36</v>
      </c>
      <c r="H123" s="24" t="n">
        <v>286100</v>
      </c>
      <c r="I123" s="22" t="n">
        <v>0</v>
      </c>
      <c r="J123" s="12" t="str">
        <f aca="false">IF(I123&lt;=0,"Current",IF(I123&lt;=30,"01-30 days",IF(I123&lt;=90,"31-90 days",IF(I123&lt;=180,"91-180 days","180+ days"))))</f>
        <v>Current</v>
      </c>
      <c r="K123" s="14" t="n">
        <f aca="false">INDEX(Assumptions!$B$11:$B$15,MATCH(J123,Assumptions!$A$11:$A$15,0))</f>
        <v>0.01</v>
      </c>
      <c r="L123" s="13" t="n">
        <f aca="false">H123*K123</f>
        <v>2861</v>
      </c>
      <c r="M123" s="13" t="n">
        <f aca="false">IF(I123&gt;Assumptions!$B$5,H123,0)</f>
        <v>0</v>
      </c>
      <c r="N123" s="13" t="n">
        <f aca="false">IF(I123&gt;Assumptions!$B$6,H123,0)</f>
        <v>0</v>
      </c>
    </row>
    <row r="124" customFormat="false" ht="15" hidden="false" customHeight="false" outlineLevel="0" collapsed="false">
      <c r="A124" s="22" t="s">
        <v>208</v>
      </c>
      <c r="B124" s="22" t="s">
        <v>44</v>
      </c>
      <c r="C124" s="22" t="s">
        <v>53</v>
      </c>
      <c r="D124" s="23" t="n">
        <v>45543</v>
      </c>
      <c r="E124" s="24" t="n">
        <v>44000</v>
      </c>
      <c r="F124" s="25" t="n">
        <v>0.18</v>
      </c>
      <c r="G124" s="22" t="n">
        <v>6</v>
      </c>
      <c r="H124" s="24" t="n">
        <v>33400</v>
      </c>
      <c r="I124" s="22" t="n">
        <v>0</v>
      </c>
      <c r="J124" s="12" t="str">
        <f aca="false">IF(I124&lt;=0,"Current",IF(I124&lt;=30,"01-30 days",IF(I124&lt;=90,"31-90 days",IF(I124&lt;=180,"91-180 days","180+ days"))))</f>
        <v>Current</v>
      </c>
      <c r="K124" s="14" t="n">
        <f aca="false">INDEX(Assumptions!$B$11:$B$15,MATCH(J124,Assumptions!$A$11:$A$15,0))</f>
        <v>0.01</v>
      </c>
      <c r="L124" s="13" t="n">
        <f aca="false">H124*K124</f>
        <v>334</v>
      </c>
      <c r="M124" s="13" t="n">
        <f aca="false">IF(I124&gt;Assumptions!$B$5,H124,0)</f>
        <v>0</v>
      </c>
      <c r="N124" s="13" t="n">
        <f aca="false">IF(I124&gt;Assumptions!$B$6,H124,0)</f>
        <v>0</v>
      </c>
    </row>
    <row r="125" customFormat="false" ht="15" hidden="false" customHeight="false" outlineLevel="0" collapsed="false">
      <c r="A125" s="22" t="s">
        <v>209</v>
      </c>
      <c r="B125" s="22" t="s">
        <v>48</v>
      </c>
      <c r="C125" s="22" t="s">
        <v>55</v>
      </c>
      <c r="D125" s="23" t="n">
        <v>45762</v>
      </c>
      <c r="E125" s="24" t="n">
        <v>225000</v>
      </c>
      <c r="F125" s="25" t="n">
        <v>0.12</v>
      </c>
      <c r="G125" s="22" t="n">
        <v>12</v>
      </c>
      <c r="H125" s="24" t="n">
        <v>198200</v>
      </c>
      <c r="I125" s="22" t="n">
        <v>0</v>
      </c>
      <c r="J125" s="12" t="str">
        <f aca="false">IF(I125&lt;=0,"Current",IF(I125&lt;=30,"01-30 days",IF(I125&lt;=90,"31-90 days",IF(I125&lt;=180,"91-180 days","180+ days"))))</f>
        <v>Current</v>
      </c>
      <c r="K125" s="14" t="n">
        <f aca="false">INDEX(Assumptions!$B$11:$B$15,MATCH(J125,Assumptions!$A$11:$A$15,0))</f>
        <v>0.01</v>
      </c>
      <c r="L125" s="13" t="n">
        <f aca="false">H125*K125</f>
        <v>1982</v>
      </c>
      <c r="M125" s="13" t="n">
        <f aca="false">IF(I125&gt;Assumptions!$B$5,H125,0)</f>
        <v>0</v>
      </c>
      <c r="N125" s="13" t="n">
        <f aca="false">IF(I125&gt;Assumptions!$B$6,H125,0)</f>
        <v>0</v>
      </c>
    </row>
    <row r="126" customFormat="false" ht="15" hidden="false" customHeight="false" outlineLevel="0" collapsed="false">
      <c r="A126" s="22" t="s">
        <v>210</v>
      </c>
      <c r="B126" s="22" t="s">
        <v>45</v>
      </c>
      <c r="C126" s="22" t="s">
        <v>54</v>
      </c>
      <c r="D126" s="23" t="n">
        <v>45797</v>
      </c>
      <c r="E126" s="24" t="n">
        <v>463000</v>
      </c>
      <c r="F126" s="25" t="n">
        <v>0.15</v>
      </c>
      <c r="G126" s="22" t="n">
        <v>24</v>
      </c>
      <c r="H126" s="24" t="n">
        <v>428800</v>
      </c>
      <c r="I126" s="22" t="n">
        <v>0</v>
      </c>
      <c r="J126" s="12" t="str">
        <f aca="false">IF(I126&lt;=0,"Current",IF(I126&lt;=30,"01-30 days",IF(I126&lt;=90,"31-90 days",IF(I126&lt;=180,"91-180 days","180+ days"))))</f>
        <v>Current</v>
      </c>
      <c r="K126" s="14" t="n">
        <f aca="false">INDEX(Assumptions!$B$11:$B$15,MATCH(J126,Assumptions!$A$11:$A$15,0))</f>
        <v>0.01</v>
      </c>
      <c r="L126" s="13" t="n">
        <f aca="false">H126*K126</f>
        <v>4288</v>
      </c>
      <c r="M126" s="13" t="n">
        <f aca="false">IF(I126&gt;Assumptions!$B$5,H126,0)</f>
        <v>0</v>
      </c>
      <c r="N126" s="13" t="n">
        <f aca="false">IF(I126&gt;Assumptions!$B$6,H126,0)</f>
        <v>0</v>
      </c>
    </row>
    <row r="127" customFormat="false" ht="15" hidden="false" customHeight="false" outlineLevel="0" collapsed="false">
      <c r="A127" s="22" t="s">
        <v>211</v>
      </c>
      <c r="B127" s="22" t="s">
        <v>46</v>
      </c>
      <c r="C127" s="22" t="s">
        <v>52</v>
      </c>
      <c r="D127" s="23" t="n">
        <v>46138</v>
      </c>
      <c r="E127" s="24" t="n">
        <v>732000</v>
      </c>
      <c r="F127" s="25" t="n">
        <v>0.14</v>
      </c>
      <c r="G127" s="22" t="n">
        <v>36</v>
      </c>
      <c r="H127" s="24" t="n">
        <v>648700</v>
      </c>
      <c r="I127" s="22" t="n">
        <v>0</v>
      </c>
      <c r="J127" s="12" t="str">
        <f aca="false">IF(I127&lt;=0,"Current",IF(I127&lt;=30,"01-30 days",IF(I127&lt;=90,"31-90 days",IF(I127&lt;=180,"91-180 days","180+ days"))))</f>
        <v>Current</v>
      </c>
      <c r="K127" s="14" t="n">
        <f aca="false">INDEX(Assumptions!$B$11:$B$15,MATCH(J127,Assumptions!$A$11:$A$15,0))</f>
        <v>0.01</v>
      </c>
      <c r="L127" s="13" t="n">
        <f aca="false">H127*K127</f>
        <v>6487</v>
      </c>
      <c r="M127" s="13" t="n">
        <f aca="false">IF(I127&gt;Assumptions!$B$5,H127,0)</f>
        <v>0</v>
      </c>
      <c r="N127" s="13" t="n">
        <f aca="false">IF(I127&gt;Assumptions!$B$6,H127,0)</f>
        <v>0</v>
      </c>
    </row>
    <row r="128" customFormat="false" ht="15" hidden="false" customHeight="false" outlineLevel="0" collapsed="false">
      <c r="A128" s="22" t="s">
        <v>212</v>
      </c>
      <c r="B128" s="22" t="s">
        <v>49</v>
      </c>
      <c r="C128" s="22" t="s">
        <v>54</v>
      </c>
      <c r="D128" s="23" t="n">
        <v>45383</v>
      </c>
      <c r="E128" s="24" t="n">
        <v>486000</v>
      </c>
      <c r="F128" s="25" t="n">
        <v>0.15</v>
      </c>
      <c r="G128" s="22" t="n">
        <v>24</v>
      </c>
      <c r="H128" s="24" t="n">
        <v>98600</v>
      </c>
      <c r="I128" s="22" t="n">
        <v>0</v>
      </c>
      <c r="J128" s="12" t="str">
        <f aca="false">IF(I128&lt;=0,"Current",IF(I128&lt;=30,"01-30 days",IF(I128&lt;=90,"31-90 days",IF(I128&lt;=180,"91-180 days","180+ days"))))</f>
        <v>Current</v>
      </c>
      <c r="K128" s="14" t="n">
        <f aca="false">INDEX(Assumptions!$B$11:$B$15,MATCH(J128,Assumptions!$A$11:$A$15,0))</f>
        <v>0.01</v>
      </c>
      <c r="L128" s="13" t="n">
        <f aca="false">H128*K128</f>
        <v>986</v>
      </c>
      <c r="M128" s="13" t="n">
        <f aca="false">IF(I128&gt;Assumptions!$B$5,H128,0)</f>
        <v>0</v>
      </c>
      <c r="N128" s="13" t="n">
        <f aca="false">IF(I128&gt;Assumptions!$B$6,H128,0)</f>
        <v>0</v>
      </c>
    </row>
    <row r="129" customFormat="false" ht="15" hidden="false" customHeight="false" outlineLevel="0" collapsed="false">
      <c r="A129" s="22" t="s">
        <v>213</v>
      </c>
      <c r="B129" s="22" t="s">
        <v>49</v>
      </c>
      <c r="C129" s="22" t="s">
        <v>56</v>
      </c>
      <c r="D129" s="23" t="n">
        <v>46113</v>
      </c>
      <c r="E129" s="24" t="n">
        <v>249000</v>
      </c>
      <c r="F129" s="25" t="n">
        <v>0.16</v>
      </c>
      <c r="G129" s="22" t="n">
        <v>48</v>
      </c>
      <c r="H129" s="24" t="n">
        <v>147600</v>
      </c>
      <c r="I129" s="22" t="n">
        <v>0</v>
      </c>
      <c r="J129" s="12" t="str">
        <f aca="false">IF(I129&lt;=0,"Current",IF(I129&lt;=30,"01-30 days",IF(I129&lt;=90,"31-90 days",IF(I129&lt;=180,"91-180 days","180+ days"))))</f>
        <v>Current</v>
      </c>
      <c r="K129" s="14" t="n">
        <f aca="false">INDEX(Assumptions!$B$11:$B$15,MATCH(J129,Assumptions!$A$11:$A$15,0))</f>
        <v>0.01</v>
      </c>
      <c r="L129" s="13" t="n">
        <f aca="false">H129*K129</f>
        <v>1476</v>
      </c>
      <c r="M129" s="13" t="n">
        <f aca="false">IF(I129&gt;Assumptions!$B$5,H129,0)</f>
        <v>0</v>
      </c>
      <c r="N129" s="13" t="n">
        <f aca="false">IF(I129&gt;Assumptions!$B$6,H129,0)</f>
        <v>0</v>
      </c>
    </row>
    <row r="130" customFormat="false" ht="15" hidden="false" customHeight="false" outlineLevel="0" collapsed="false">
      <c r="A130" s="22" t="s">
        <v>214</v>
      </c>
      <c r="B130" s="22" t="s">
        <v>44</v>
      </c>
      <c r="C130" s="22" t="s">
        <v>55</v>
      </c>
      <c r="D130" s="23" t="n">
        <v>45942</v>
      </c>
      <c r="E130" s="24" t="n">
        <v>67000</v>
      </c>
      <c r="F130" s="25" t="n">
        <v>0.12</v>
      </c>
      <c r="G130" s="22" t="n">
        <v>12</v>
      </c>
      <c r="H130" s="24" t="n">
        <v>25700</v>
      </c>
      <c r="I130" s="22" t="n">
        <v>0</v>
      </c>
      <c r="J130" s="12" t="str">
        <f aca="false">IF(I130&lt;=0,"Current",IF(I130&lt;=30,"01-30 days",IF(I130&lt;=90,"31-90 days",IF(I130&lt;=180,"91-180 days","180+ days"))))</f>
        <v>Current</v>
      </c>
      <c r="K130" s="14" t="n">
        <f aca="false">INDEX(Assumptions!$B$11:$B$15,MATCH(J130,Assumptions!$A$11:$A$15,0))</f>
        <v>0.01</v>
      </c>
      <c r="L130" s="13" t="n">
        <f aca="false">H130*K130</f>
        <v>257</v>
      </c>
      <c r="M130" s="13" t="n">
        <f aca="false">IF(I130&gt;Assumptions!$B$5,H130,0)</f>
        <v>0</v>
      </c>
      <c r="N130" s="13" t="n">
        <f aca="false">IF(I130&gt;Assumptions!$B$6,H130,0)</f>
        <v>0</v>
      </c>
    </row>
    <row r="131" customFormat="false" ht="15" hidden="false" customHeight="false" outlineLevel="0" collapsed="false">
      <c r="A131" s="22" t="s">
        <v>215</v>
      </c>
      <c r="B131" s="22" t="s">
        <v>45</v>
      </c>
      <c r="C131" s="22" t="s">
        <v>53</v>
      </c>
      <c r="D131" s="23" t="n">
        <v>45591</v>
      </c>
      <c r="E131" s="24" t="n">
        <v>102000</v>
      </c>
      <c r="F131" s="25" t="n">
        <v>0.18</v>
      </c>
      <c r="G131" s="22" t="n">
        <v>6</v>
      </c>
      <c r="H131" s="24" t="n">
        <v>36000</v>
      </c>
      <c r="I131" s="22" t="n">
        <v>0</v>
      </c>
      <c r="J131" s="12" t="str">
        <f aca="false">IF(I131&lt;=0,"Current",IF(I131&lt;=30,"01-30 days",IF(I131&lt;=90,"31-90 days",IF(I131&lt;=180,"91-180 days","180+ days"))))</f>
        <v>Current</v>
      </c>
      <c r="K131" s="14" t="n">
        <f aca="false">INDEX(Assumptions!$B$11:$B$15,MATCH(J131,Assumptions!$A$11:$A$15,0))</f>
        <v>0.01</v>
      </c>
      <c r="L131" s="13" t="n">
        <f aca="false">H131*K131</f>
        <v>360</v>
      </c>
      <c r="M131" s="13" t="n">
        <f aca="false">IF(I131&gt;Assumptions!$B$5,H131,0)</f>
        <v>0</v>
      </c>
      <c r="N131" s="13" t="n">
        <f aca="false">IF(I131&gt;Assumptions!$B$6,H131,0)</f>
        <v>0</v>
      </c>
    </row>
    <row r="132" customFormat="false" ht="15" hidden="false" customHeight="false" outlineLevel="0" collapsed="false">
      <c r="A132" s="22" t="s">
        <v>216</v>
      </c>
      <c r="B132" s="22" t="s">
        <v>45</v>
      </c>
      <c r="C132" s="22" t="s">
        <v>52</v>
      </c>
      <c r="D132" s="23" t="n">
        <v>45309</v>
      </c>
      <c r="E132" s="24" t="n">
        <v>582000</v>
      </c>
      <c r="F132" s="25" t="n">
        <v>0.14</v>
      </c>
      <c r="G132" s="22" t="n">
        <v>36</v>
      </c>
      <c r="H132" s="24" t="n">
        <v>251000</v>
      </c>
      <c r="I132" s="22" t="n">
        <v>113</v>
      </c>
      <c r="J132" s="12" t="str">
        <f aca="false">IF(I132&lt;=0,"Current",IF(I132&lt;=30,"01-30 days",IF(I132&lt;=90,"31-90 days",IF(I132&lt;=180,"91-180 days","180+ days"))))</f>
        <v>91-180 days</v>
      </c>
      <c r="K132" s="14" t="n">
        <f aca="false">INDEX(Assumptions!$B$11:$B$15,MATCH(J132,Assumptions!$A$11:$A$15,0))</f>
        <v>0.5</v>
      </c>
      <c r="L132" s="13" t="n">
        <f aca="false">H132*K132</f>
        <v>125500</v>
      </c>
      <c r="M132" s="13" t="n">
        <f aca="false">IF(I132&gt;Assumptions!$B$5,H132,0)</f>
        <v>251000</v>
      </c>
      <c r="N132" s="13" t="n">
        <f aca="false">IF(I132&gt;Assumptions!$B$6,H132,0)</f>
        <v>251000</v>
      </c>
    </row>
    <row r="133" customFormat="false" ht="15" hidden="false" customHeight="false" outlineLevel="0" collapsed="false">
      <c r="A133" s="22" t="s">
        <v>217</v>
      </c>
      <c r="B133" s="22" t="s">
        <v>47</v>
      </c>
      <c r="C133" s="22" t="s">
        <v>52</v>
      </c>
      <c r="D133" s="23" t="n">
        <v>45514</v>
      </c>
      <c r="E133" s="24" t="n">
        <v>420000</v>
      </c>
      <c r="F133" s="25" t="n">
        <v>0.14</v>
      </c>
      <c r="G133" s="22" t="n">
        <v>36</v>
      </c>
      <c r="H133" s="24" t="n">
        <v>118200</v>
      </c>
      <c r="I133" s="22" t="n">
        <v>0</v>
      </c>
      <c r="J133" s="12" t="str">
        <f aca="false">IF(I133&lt;=0,"Current",IF(I133&lt;=30,"01-30 days",IF(I133&lt;=90,"31-90 days",IF(I133&lt;=180,"91-180 days","180+ days"))))</f>
        <v>Current</v>
      </c>
      <c r="K133" s="14" t="n">
        <f aca="false">INDEX(Assumptions!$B$11:$B$15,MATCH(J133,Assumptions!$A$11:$A$15,0))</f>
        <v>0.01</v>
      </c>
      <c r="L133" s="13" t="n">
        <f aca="false">H133*K133</f>
        <v>1182</v>
      </c>
      <c r="M133" s="13" t="n">
        <f aca="false">IF(I133&gt;Assumptions!$B$5,H133,0)</f>
        <v>0</v>
      </c>
      <c r="N133" s="13" t="n">
        <f aca="false">IF(I133&gt;Assumptions!$B$6,H133,0)</f>
        <v>0</v>
      </c>
    </row>
    <row r="134" customFormat="false" ht="15" hidden="false" customHeight="false" outlineLevel="0" collapsed="false">
      <c r="A134" s="22" t="s">
        <v>218</v>
      </c>
      <c r="B134" s="22" t="s">
        <v>47</v>
      </c>
      <c r="C134" s="22" t="s">
        <v>56</v>
      </c>
      <c r="D134" s="23" t="n">
        <v>45481</v>
      </c>
      <c r="E134" s="24" t="n">
        <v>1166000</v>
      </c>
      <c r="F134" s="25" t="n">
        <v>0.16</v>
      </c>
      <c r="G134" s="22" t="n">
        <v>48</v>
      </c>
      <c r="H134" s="24" t="n">
        <v>753300</v>
      </c>
      <c r="I134" s="22" t="n">
        <v>0</v>
      </c>
      <c r="J134" s="12" t="str">
        <f aca="false">IF(I134&lt;=0,"Current",IF(I134&lt;=30,"01-30 days",IF(I134&lt;=90,"31-90 days",IF(I134&lt;=180,"91-180 days","180+ days"))))</f>
        <v>Current</v>
      </c>
      <c r="K134" s="14" t="n">
        <f aca="false">INDEX(Assumptions!$B$11:$B$15,MATCH(J134,Assumptions!$A$11:$A$15,0))</f>
        <v>0.01</v>
      </c>
      <c r="L134" s="13" t="n">
        <f aca="false">H134*K134</f>
        <v>7533</v>
      </c>
      <c r="M134" s="13" t="n">
        <f aca="false">IF(I134&gt;Assumptions!$B$5,H134,0)</f>
        <v>0</v>
      </c>
      <c r="N134" s="13" t="n">
        <f aca="false">IF(I134&gt;Assumptions!$B$6,H134,0)</f>
        <v>0</v>
      </c>
    </row>
    <row r="135" customFormat="false" ht="15" hidden="false" customHeight="false" outlineLevel="0" collapsed="false">
      <c r="A135" s="22" t="s">
        <v>219</v>
      </c>
      <c r="B135" s="22" t="s">
        <v>49</v>
      </c>
      <c r="C135" s="22" t="s">
        <v>55</v>
      </c>
      <c r="D135" s="23" t="n">
        <v>45933</v>
      </c>
      <c r="E135" s="24" t="n">
        <v>74000</v>
      </c>
      <c r="F135" s="25" t="n">
        <v>0.12</v>
      </c>
      <c r="G135" s="22" t="n">
        <v>12</v>
      </c>
      <c r="H135" s="24" t="n">
        <v>65300</v>
      </c>
      <c r="I135" s="22" t="n">
        <v>0</v>
      </c>
      <c r="J135" s="12" t="str">
        <f aca="false">IF(I135&lt;=0,"Current",IF(I135&lt;=30,"01-30 days",IF(I135&lt;=90,"31-90 days",IF(I135&lt;=180,"91-180 days","180+ days"))))</f>
        <v>Current</v>
      </c>
      <c r="K135" s="14" t="n">
        <f aca="false">INDEX(Assumptions!$B$11:$B$15,MATCH(J135,Assumptions!$A$11:$A$15,0))</f>
        <v>0.01</v>
      </c>
      <c r="L135" s="13" t="n">
        <f aca="false">H135*K135</f>
        <v>653</v>
      </c>
      <c r="M135" s="13" t="n">
        <f aca="false">IF(I135&gt;Assumptions!$B$5,H135,0)</f>
        <v>0</v>
      </c>
      <c r="N135" s="13" t="n">
        <f aca="false">IF(I135&gt;Assumptions!$B$6,H135,0)</f>
        <v>0</v>
      </c>
    </row>
    <row r="136" customFormat="false" ht="15" hidden="false" customHeight="false" outlineLevel="0" collapsed="false">
      <c r="A136" s="22" t="s">
        <v>220</v>
      </c>
      <c r="B136" s="22" t="s">
        <v>46</v>
      </c>
      <c r="C136" s="22" t="s">
        <v>56</v>
      </c>
      <c r="D136" s="23" t="n">
        <v>45704</v>
      </c>
      <c r="E136" s="24" t="n">
        <v>1181000</v>
      </c>
      <c r="F136" s="25" t="n">
        <v>0.16</v>
      </c>
      <c r="G136" s="22" t="n">
        <v>48</v>
      </c>
      <c r="H136" s="24" t="n">
        <v>992100</v>
      </c>
      <c r="I136" s="22" t="n">
        <v>0</v>
      </c>
      <c r="J136" s="12" t="str">
        <f aca="false">IF(I136&lt;=0,"Current",IF(I136&lt;=30,"01-30 days",IF(I136&lt;=90,"31-90 days",IF(I136&lt;=180,"91-180 days","180+ days"))))</f>
        <v>Current</v>
      </c>
      <c r="K136" s="14" t="n">
        <f aca="false">INDEX(Assumptions!$B$11:$B$15,MATCH(J136,Assumptions!$A$11:$A$15,0))</f>
        <v>0.01</v>
      </c>
      <c r="L136" s="13" t="n">
        <f aca="false">H136*K136</f>
        <v>9921</v>
      </c>
      <c r="M136" s="13" t="n">
        <f aca="false">IF(I136&gt;Assumptions!$B$5,H136,0)</f>
        <v>0</v>
      </c>
      <c r="N136" s="13" t="n">
        <f aca="false">IF(I136&gt;Assumptions!$B$6,H136,0)</f>
        <v>0</v>
      </c>
    </row>
    <row r="137" customFormat="false" ht="15" hidden="false" customHeight="false" outlineLevel="0" collapsed="false">
      <c r="A137" s="22" t="s">
        <v>221</v>
      </c>
      <c r="B137" s="22" t="s">
        <v>49</v>
      </c>
      <c r="C137" s="22" t="s">
        <v>54</v>
      </c>
      <c r="D137" s="23" t="n">
        <v>45786</v>
      </c>
      <c r="E137" s="24" t="n">
        <v>388000</v>
      </c>
      <c r="F137" s="25" t="n">
        <v>0.15</v>
      </c>
      <c r="G137" s="22" t="n">
        <v>24</v>
      </c>
      <c r="H137" s="24" t="n">
        <v>236900</v>
      </c>
      <c r="I137" s="22" t="n">
        <v>0</v>
      </c>
      <c r="J137" s="12" t="str">
        <f aca="false">IF(I137&lt;=0,"Current",IF(I137&lt;=30,"01-30 days",IF(I137&lt;=90,"31-90 days",IF(I137&lt;=180,"91-180 days","180+ days"))))</f>
        <v>Current</v>
      </c>
      <c r="K137" s="14" t="n">
        <f aca="false">INDEX(Assumptions!$B$11:$B$15,MATCH(J137,Assumptions!$A$11:$A$15,0))</f>
        <v>0.01</v>
      </c>
      <c r="L137" s="13" t="n">
        <f aca="false">H137*K137</f>
        <v>2369</v>
      </c>
      <c r="M137" s="13" t="n">
        <f aca="false">IF(I137&gt;Assumptions!$B$5,H137,0)</f>
        <v>0</v>
      </c>
      <c r="N137" s="13" t="n">
        <f aca="false">IF(I137&gt;Assumptions!$B$6,H137,0)</f>
        <v>0</v>
      </c>
    </row>
    <row r="138" customFormat="false" ht="15" hidden="false" customHeight="false" outlineLevel="0" collapsed="false">
      <c r="A138" s="22" t="s">
        <v>222</v>
      </c>
      <c r="B138" s="22" t="s">
        <v>48</v>
      </c>
      <c r="C138" s="22" t="s">
        <v>55</v>
      </c>
      <c r="D138" s="23" t="n">
        <v>45573</v>
      </c>
      <c r="E138" s="24" t="n">
        <v>42000</v>
      </c>
      <c r="F138" s="25" t="n">
        <v>0.12</v>
      </c>
      <c r="G138" s="22" t="n">
        <v>12</v>
      </c>
      <c r="H138" s="24" t="n">
        <v>15200</v>
      </c>
      <c r="I138" s="22" t="n">
        <v>55</v>
      </c>
      <c r="J138" s="12" t="str">
        <f aca="false">IF(I138&lt;=0,"Current",IF(I138&lt;=30,"01-30 days",IF(I138&lt;=90,"31-90 days",IF(I138&lt;=180,"91-180 days","180+ days"))))</f>
        <v>31-90 days</v>
      </c>
      <c r="K138" s="14" t="n">
        <f aca="false">INDEX(Assumptions!$B$11:$B$15,MATCH(J138,Assumptions!$A$11:$A$15,0))</f>
        <v>0.25</v>
      </c>
      <c r="L138" s="13" t="n">
        <f aca="false">H138*K138</f>
        <v>3800</v>
      </c>
      <c r="M138" s="13" t="n">
        <f aca="false">IF(I138&gt;Assumptions!$B$5,H138,0)</f>
        <v>15200</v>
      </c>
      <c r="N138" s="13" t="n">
        <f aca="false">IF(I138&gt;Assumptions!$B$6,H138,0)</f>
        <v>0</v>
      </c>
    </row>
    <row r="139" customFormat="false" ht="15" hidden="false" customHeight="false" outlineLevel="0" collapsed="false">
      <c r="A139" s="22" t="s">
        <v>223</v>
      </c>
      <c r="B139" s="22" t="s">
        <v>48</v>
      </c>
      <c r="C139" s="22" t="s">
        <v>52</v>
      </c>
      <c r="D139" s="23" t="n">
        <v>46187</v>
      </c>
      <c r="E139" s="24" t="n">
        <v>773000</v>
      </c>
      <c r="F139" s="25" t="n">
        <v>0.14</v>
      </c>
      <c r="G139" s="22" t="n">
        <v>36</v>
      </c>
      <c r="H139" s="24" t="n">
        <v>690400</v>
      </c>
      <c r="I139" s="22" t="n">
        <v>0</v>
      </c>
      <c r="J139" s="12" t="str">
        <f aca="false">IF(I139&lt;=0,"Current",IF(I139&lt;=30,"01-30 days",IF(I139&lt;=90,"31-90 days",IF(I139&lt;=180,"91-180 days","180+ days"))))</f>
        <v>Current</v>
      </c>
      <c r="K139" s="14" t="n">
        <f aca="false">INDEX(Assumptions!$B$11:$B$15,MATCH(J139,Assumptions!$A$11:$A$15,0))</f>
        <v>0.01</v>
      </c>
      <c r="L139" s="13" t="n">
        <f aca="false">H139*K139</f>
        <v>6904</v>
      </c>
      <c r="M139" s="13" t="n">
        <f aca="false">IF(I139&gt;Assumptions!$B$5,H139,0)</f>
        <v>0</v>
      </c>
      <c r="N139" s="13" t="n">
        <f aca="false">IF(I139&gt;Assumptions!$B$6,H139,0)</f>
        <v>0</v>
      </c>
    </row>
    <row r="140" customFormat="false" ht="15" hidden="false" customHeight="false" outlineLevel="0" collapsed="false">
      <c r="A140" s="22" t="s">
        <v>224</v>
      </c>
      <c r="B140" s="22" t="s">
        <v>46</v>
      </c>
      <c r="C140" s="22" t="s">
        <v>54</v>
      </c>
      <c r="D140" s="23" t="n">
        <v>45912</v>
      </c>
      <c r="E140" s="24" t="n">
        <v>280000</v>
      </c>
      <c r="F140" s="25" t="n">
        <v>0.15</v>
      </c>
      <c r="G140" s="22" t="n">
        <v>24</v>
      </c>
      <c r="H140" s="24" t="n">
        <v>223300</v>
      </c>
      <c r="I140" s="22" t="n">
        <v>0</v>
      </c>
      <c r="J140" s="12" t="str">
        <f aca="false">IF(I140&lt;=0,"Current",IF(I140&lt;=30,"01-30 days",IF(I140&lt;=90,"31-90 days",IF(I140&lt;=180,"91-180 days","180+ days"))))</f>
        <v>Current</v>
      </c>
      <c r="K140" s="14" t="n">
        <f aca="false">INDEX(Assumptions!$B$11:$B$15,MATCH(J140,Assumptions!$A$11:$A$15,0))</f>
        <v>0.01</v>
      </c>
      <c r="L140" s="13" t="n">
        <f aca="false">H140*K140</f>
        <v>2233</v>
      </c>
      <c r="M140" s="13" t="n">
        <f aca="false">IF(I140&gt;Assumptions!$B$5,H140,0)</f>
        <v>0</v>
      </c>
      <c r="N140" s="13" t="n">
        <f aca="false">IF(I140&gt;Assumptions!$B$6,H140,0)</f>
        <v>0</v>
      </c>
    </row>
    <row r="141" customFormat="false" ht="15" hidden="false" customHeight="false" outlineLevel="0" collapsed="false">
      <c r="A141" s="22" t="s">
        <v>225</v>
      </c>
      <c r="B141" s="22" t="s">
        <v>48</v>
      </c>
      <c r="C141" s="22" t="s">
        <v>55</v>
      </c>
      <c r="D141" s="23" t="n">
        <v>46182</v>
      </c>
      <c r="E141" s="24" t="n">
        <v>70000</v>
      </c>
      <c r="F141" s="25" t="n">
        <v>0.12</v>
      </c>
      <c r="G141" s="22" t="n">
        <v>12</v>
      </c>
      <c r="H141" s="24" t="n">
        <v>54500</v>
      </c>
      <c r="I141" s="22" t="n">
        <v>0</v>
      </c>
      <c r="J141" s="12" t="str">
        <f aca="false">IF(I141&lt;=0,"Current",IF(I141&lt;=30,"01-30 days",IF(I141&lt;=90,"31-90 days",IF(I141&lt;=180,"91-180 days","180+ days"))))</f>
        <v>Current</v>
      </c>
      <c r="K141" s="14" t="n">
        <f aca="false">INDEX(Assumptions!$B$11:$B$15,MATCH(J141,Assumptions!$A$11:$A$15,0))</f>
        <v>0.01</v>
      </c>
      <c r="L141" s="13" t="n">
        <f aca="false">H141*K141</f>
        <v>545</v>
      </c>
      <c r="M141" s="13" t="n">
        <f aca="false">IF(I141&gt;Assumptions!$B$5,H141,0)</f>
        <v>0</v>
      </c>
      <c r="N141" s="13" t="n">
        <f aca="false">IF(I141&gt;Assumptions!$B$6,H141,0)</f>
        <v>0</v>
      </c>
    </row>
    <row r="142" customFormat="false" ht="15" hidden="false" customHeight="false" outlineLevel="0" collapsed="false">
      <c r="A142" s="22" t="s">
        <v>226</v>
      </c>
      <c r="B142" s="22" t="s">
        <v>48</v>
      </c>
      <c r="C142" s="22" t="s">
        <v>53</v>
      </c>
      <c r="D142" s="23" t="n">
        <v>46158</v>
      </c>
      <c r="E142" s="24" t="n">
        <v>88000</v>
      </c>
      <c r="F142" s="25" t="n">
        <v>0.18</v>
      </c>
      <c r="G142" s="22" t="n">
        <v>6</v>
      </c>
      <c r="H142" s="24" t="n">
        <v>51700</v>
      </c>
      <c r="I142" s="22" t="n">
        <v>19</v>
      </c>
      <c r="J142" s="12" t="str">
        <f aca="false">IF(I142&lt;=0,"Current",IF(I142&lt;=30,"01-30 days",IF(I142&lt;=90,"31-90 days",IF(I142&lt;=180,"91-180 days","180+ days"))))</f>
        <v>01-30 days</v>
      </c>
      <c r="K142" s="14" t="n">
        <f aca="false">INDEX(Assumptions!$B$11:$B$15,MATCH(J142,Assumptions!$A$11:$A$15,0))</f>
        <v>0.05</v>
      </c>
      <c r="L142" s="13" t="n">
        <f aca="false">H142*K142</f>
        <v>2585</v>
      </c>
      <c r="M142" s="13" t="n">
        <f aca="false">IF(I142&gt;Assumptions!$B$5,H142,0)</f>
        <v>0</v>
      </c>
      <c r="N142" s="13" t="n">
        <f aca="false">IF(I142&gt;Assumptions!$B$6,H142,0)</f>
        <v>0</v>
      </c>
    </row>
    <row r="143" customFormat="false" ht="15" hidden="false" customHeight="false" outlineLevel="0" collapsed="false">
      <c r="A143" s="22" t="s">
        <v>227</v>
      </c>
      <c r="B143" s="22" t="s">
        <v>44</v>
      </c>
      <c r="C143" s="22" t="s">
        <v>53</v>
      </c>
      <c r="D143" s="23" t="n">
        <v>45832</v>
      </c>
      <c r="E143" s="24" t="n">
        <v>41000</v>
      </c>
      <c r="F143" s="25" t="n">
        <v>0.18</v>
      </c>
      <c r="G143" s="22" t="n">
        <v>6</v>
      </c>
      <c r="H143" s="24" t="n">
        <v>19000</v>
      </c>
      <c r="I143" s="22" t="n">
        <v>0</v>
      </c>
      <c r="J143" s="12" t="str">
        <f aca="false">IF(I143&lt;=0,"Current",IF(I143&lt;=30,"01-30 days",IF(I143&lt;=90,"31-90 days",IF(I143&lt;=180,"91-180 days","180+ days"))))</f>
        <v>Current</v>
      </c>
      <c r="K143" s="14" t="n">
        <f aca="false">INDEX(Assumptions!$B$11:$B$15,MATCH(J143,Assumptions!$A$11:$A$15,0))</f>
        <v>0.01</v>
      </c>
      <c r="L143" s="13" t="n">
        <f aca="false">H143*K143</f>
        <v>190</v>
      </c>
      <c r="M143" s="13" t="n">
        <f aca="false">IF(I143&gt;Assumptions!$B$5,H143,0)</f>
        <v>0</v>
      </c>
      <c r="N143" s="13" t="n">
        <f aca="false">IF(I143&gt;Assumptions!$B$6,H143,0)</f>
        <v>0</v>
      </c>
    </row>
    <row r="144" customFormat="false" ht="15" hidden="false" customHeight="false" outlineLevel="0" collapsed="false">
      <c r="A144" s="22" t="s">
        <v>228</v>
      </c>
      <c r="B144" s="22" t="s">
        <v>44</v>
      </c>
      <c r="C144" s="22" t="s">
        <v>55</v>
      </c>
      <c r="D144" s="23" t="n">
        <v>45892</v>
      </c>
      <c r="E144" s="24" t="n">
        <v>207000</v>
      </c>
      <c r="F144" s="25" t="n">
        <v>0.12</v>
      </c>
      <c r="G144" s="22" t="n">
        <v>12</v>
      </c>
      <c r="H144" s="24" t="n">
        <v>114200</v>
      </c>
      <c r="I144" s="22" t="n">
        <v>0</v>
      </c>
      <c r="J144" s="12" t="str">
        <f aca="false">IF(I144&lt;=0,"Current",IF(I144&lt;=30,"01-30 days",IF(I144&lt;=90,"31-90 days",IF(I144&lt;=180,"91-180 days","180+ days"))))</f>
        <v>Current</v>
      </c>
      <c r="K144" s="14" t="n">
        <f aca="false">INDEX(Assumptions!$B$11:$B$15,MATCH(J144,Assumptions!$A$11:$A$15,0))</f>
        <v>0.01</v>
      </c>
      <c r="L144" s="13" t="n">
        <f aca="false">H144*K144</f>
        <v>1142</v>
      </c>
      <c r="M144" s="13" t="n">
        <f aca="false">IF(I144&gt;Assumptions!$B$5,H144,0)</f>
        <v>0</v>
      </c>
      <c r="N144" s="13" t="n">
        <f aca="false">IF(I144&gt;Assumptions!$B$6,H144,0)</f>
        <v>0</v>
      </c>
    </row>
    <row r="145" customFormat="false" ht="15" hidden="false" customHeight="false" outlineLevel="0" collapsed="false">
      <c r="A145" s="22" t="s">
        <v>229</v>
      </c>
      <c r="B145" s="22" t="s">
        <v>46</v>
      </c>
      <c r="C145" s="22" t="s">
        <v>56</v>
      </c>
      <c r="D145" s="23" t="n">
        <v>45742</v>
      </c>
      <c r="E145" s="24" t="n">
        <v>821000</v>
      </c>
      <c r="F145" s="25" t="n">
        <v>0.16</v>
      </c>
      <c r="G145" s="22" t="n">
        <v>48</v>
      </c>
      <c r="H145" s="24" t="n">
        <v>175900</v>
      </c>
      <c r="I145" s="22" t="n">
        <v>178</v>
      </c>
      <c r="J145" s="12" t="str">
        <f aca="false">IF(I145&lt;=0,"Current",IF(I145&lt;=30,"01-30 days",IF(I145&lt;=90,"31-90 days",IF(I145&lt;=180,"91-180 days","180+ days"))))</f>
        <v>91-180 days</v>
      </c>
      <c r="K145" s="14" t="n">
        <f aca="false">INDEX(Assumptions!$B$11:$B$15,MATCH(J145,Assumptions!$A$11:$A$15,0))</f>
        <v>0.5</v>
      </c>
      <c r="L145" s="13" t="n">
        <f aca="false">H145*K145</f>
        <v>87950</v>
      </c>
      <c r="M145" s="13" t="n">
        <f aca="false">IF(I145&gt;Assumptions!$B$5,H145,0)</f>
        <v>175900</v>
      </c>
      <c r="N145" s="13" t="n">
        <f aca="false">IF(I145&gt;Assumptions!$B$6,H145,0)</f>
        <v>175900</v>
      </c>
    </row>
    <row r="146" customFormat="false" ht="15" hidden="false" customHeight="false" outlineLevel="0" collapsed="false">
      <c r="A146" s="22" t="s">
        <v>230</v>
      </c>
      <c r="B146" s="22" t="s">
        <v>44</v>
      </c>
      <c r="C146" s="22" t="s">
        <v>56</v>
      </c>
      <c r="D146" s="23" t="n">
        <v>46143</v>
      </c>
      <c r="E146" s="24" t="n">
        <v>1046000</v>
      </c>
      <c r="F146" s="25" t="n">
        <v>0.16</v>
      </c>
      <c r="G146" s="22" t="n">
        <v>48</v>
      </c>
      <c r="H146" s="24" t="n">
        <v>621600</v>
      </c>
      <c r="I146" s="22" t="n">
        <v>0</v>
      </c>
      <c r="J146" s="12" t="str">
        <f aca="false">IF(I146&lt;=0,"Current",IF(I146&lt;=30,"01-30 days",IF(I146&lt;=90,"31-90 days",IF(I146&lt;=180,"91-180 days","180+ days"))))</f>
        <v>Current</v>
      </c>
      <c r="K146" s="14" t="n">
        <f aca="false">INDEX(Assumptions!$B$11:$B$15,MATCH(J146,Assumptions!$A$11:$A$15,0))</f>
        <v>0.01</v>
      </c>
      <c r="L146" s="13" t="n">
        <f aca="false">H146*K146</f>
        <v>6216</v>
      </c>
      <c r="M146" s="13" t="n">
        <f aca="false">IF(I146&gt;Assumptions!$B$5,H146,0)</f>
        <v>0</v>
      </c>
      <c r="N146" s="13" t="n">
        <f aca="false">IF(I146&gt;Assumptions!$B$6,H146,0)</f>
        <v>0</v>
      </c>
    </row>
    <row r="147" customFormat="false" ht="15" hidden="false" customHeight="false" outlineLevel="0" collapsed="false">
      <c r="A147" s="22" t="s">
        <v>231</v>
      </c>
      <c r="B147" s="22" t="s">
        <v>49</v>
      </c>
      <c r="C147" s="22" t="s">
        <v>54</v>
      </c>
      <c r="D147" s="23" t="n">
        <v>45770</v>
      </c>
      <c r="E147" s="24" t="n">
        <v>209000</v>
      </c>
      <c r="F147" s="25" t="n">
        <v>0.15</v>
      </c>
      <c r="G147" s="22" t="n">
        <v>24</v>
      </c>
      <c r="H147" s="24" t="n">
        <v>105400</v>
      </c>
      <c r="I147" s="22" t="n">
        <v>0</v>
      </c>
      <c r="J147" s="12" t="str">
        <f aca="false">IF(I147&lt;=0,"Current",IF(I147&lt;=30,"01-30 days",IF(I147&lt;=90,"31-90 days",IF(I147&lt;=180,"91-180 days","180+ days"))))</f>
        <v>Current</v>
      </c>
      <c r="K147" s="14" t="n">
        <f aca="false">INDEX(Assumptions!$B$11:$B$15,MATCH(J147,Assumptions!$A$11:$A$15,0))</f>
        <v>0.01</v>
      </c>
      <c r="L147" s="13" t="n">
        <f aca="false">H147*K147</f>
        <v>1054</v>
      </c>
      <c r="M147" s="13" t="n">
        <f aca="false">IF(I147&gt;Assumptions!$B$5,H147,0)</f>
        <v>0</v>
      </c>
      <c r="N147" s="13" t="n">
        <f aca="false">IF(I147&gt;Assumptions!$B$6,H147,0)</f>
        <v>0</v>
      </c>
    </row>
    <row r="148" customFormat="false" ht="15" hidden="false" customHeight="false" outlineLevel="0" collapsed="false">
      <c r="A148" s="22" t="s">
        <v>232</v>
      </c>
      <c r="B148" s="22" t="s">
        <v>47</v>
      </c>
      <c r="C148" s="22" t="s">
        <v>52</v>
      </c>
      <c r="D148" s="23" t="n">
        <v>45975</v>
      </c>
      <c r="E148" s="24" t="n">
        <v>468000</v>
      </c>
      <c r="F148" s="25" t="n">
        <v>0.14</v>
      </c>
      <c r="G148" s="22" t="n">
        <v>36</v>
      </c>
      <c r="H148" s="24" t="n">
        <v>119700</v>
      </c>
      <c r="I148" s="22" t="n">
        <v>0</v>
      </c>
      <c r="J148" s="12" t="str">
        <f aca="false">IF(I148&lt;=0,"Current",IF(I148&lt;=30,"01-30 days",IF(I148&lt;=90,"31-90 days",IF(I148&lt;=180,"91-180 days","180+ days"))))</f>
        <v>Current</v>
      </c>
      <c r="K148" s="14" t="n">
        <f aca="false">INDEX(Assumptions!$B$11:$B$15,MATCH(J148,Assumptions!$A$11:$A$15,0))</f>
        <v>0.01</v>
      </c>
      <c r="L148" s="13" t="n">
        <f aca="false">H148*K148</f>
        <v>1197</v>
      </c>
      <c r="M148" s="13" t="n">
        <f aca="false">IF(I148&gt;Assumptions!$B$5,H148,0)</f>
        <v>0</v>
      </c>
      <c r="N148" s="13" t="n">
        <f aca="false">IF(I148&gt;Assumptions!$B$6,H148,0)</f>
        <v>0</v>
      </c>
    </row>
    <row r="149" customFormat="false" ht="15" hidden="false" customHeight="false" outlineLevel="0" collapsed="false">
      <c r="A149" s="22" t="s">
        <v>233</v>
      </c>
      <c r="B149" s="22" t="s">
        <v>45</v>
      </c>
      <c r="C149" s="22" t="s">
        <v>55</v>
      </c>
      <c r="D149" s="23" t="n">
        <v>45961</v>
      </c>
      <c r="E149" s="24" t="n">
        <v>221000</v>
      </c>
      <c r="F149" s="25" t="n">
        <v>0.12</v>
      </c>
      <c r="G149" s="22" t="n">
        <v>12</v>
      </c>
      <c r="H149" s="24" t="n">
        <v>204500</v>
      </c>
      <c r="I149" s="22" t="n">
        <v>0</v>
      </c>
      <c r="J149" s="12" t="str">
        <f aca="false">IF(I149&lt;=0,"Current",IF(I149&lt;=30,"01-30 days",IF(I149&lt;=90,"31-90 days",IF(I149&lt;=180,"91-180 days","180+ days"))))</f>
        <v>Current</v>
      </c>
      <c r="K149" s="14" t="n">
        <f aca="false">INDEX(Assumptions!$B$11:$B$15,MATCH(J149,Assumptions!$A$11:$A$15,0))</f>
        <v>0.01</v>
      </c>
      <c r="L149" s="13" t="n">
        <f aca="false">H149*K149</f>
        <v>2045</v>
      </c>
      <c r="M149" s="13" t="n">
        <f aca="false">IF(I149&gt;Assumptions!$B$5,H149,0)</f>
        <v>0</v>
      </c>
      <c r="N149" s="13" t="n">
        <f aca="false">IF(I149&gt;Assumptions!$B$6,H149,0)</f>
        <v>0</v>
      </c>
    </row>
    <row r="150" customFormat="false" ht="15" hidden="false" customHeight="false" outlineLevel="0" collapsed="false">
      <c r="A150" s="22" t="s">
        <v>234</v>
      </c>
      <c r="B150" s="22" t="s">
        <v>46</v>
      </c>
      <c r="C150" s="22" t="s">
        <v>55</v>
      </c>
      <c r="D150" s="23" t="n">
        <v>46156</v>
      </c>
      <c r="E150" s="24" t="n">
        <v>212000</v>
      </c>
      <c r="F150" s="25" t="n">
        <v>0.12</v>
      </c>
      <c r="G150" s="22" t="n">
        <v>12</v>
      </c>
      <c r="H150" s="24" t="n">
        <v>155300</v>
      </c>
      <c r="I150" s="22" t="n">
        <v>19</v>
      </c>
      <c r="J150" s="12" t="str">
        <f aca="false">IF(I150&lt;=0,"Current",IF(I150&lt;=30,"01-30 days",IF(I150&lt;=90,"31-90 days",IF(I150&lt;=180,"91-180 days","180+ days"))))</f>
        <v>01-30 days</v>
      </c>
      <c r="K150" s="14" t="n">
        <f aca="false">INDEX(Assumptions!$B$11:$B$15,MATCH(J150,Assumptions!$A$11:$A$15,0))</f>
        <v>0.05</v>
      </c>
      <c r="L150" s="13" t="n">
        <f aca="false">H150*K150</f>
        <v>7765</v>
      </c>
      <c r="M150" s="13" t="n">
        <f aca="false">IF(I150&gt;Assumptions!$B$5,H150,0)</f>
        <v>0</v>
      </c>
      <c r="N150" s="13" t="n">
        <f aca="false">IF(I150&gt;Assumptions!$B$6,H150,0)</f>
        <v>0</v>
      </c>
    </row>
    <row r="151" customFormat="false" ht="15" hidden="false" customHeight="false" outlineLevel="0" collapsed="false">
      <c r="A151" s="22" t="s">
        <v>235</v>
      </c>
      <c r="B151" s="22" t="s">
        <v>48</v>
      </c>
      <c r="C151" s="22" t="s">
        <v>53</v>
      </c>
      <c r="D151" s="23" t="n">
        <v>45844</v>
      </c>
      <c r="E151" s="24" t="n">
        <v>58000</v>
      </c>
      <c r="F151" s="25" t="n">
        <v>0.18</v>
      </c>
      <c r="G151" s="22" t="n">
        <v>6</v>
      </c>
      <c r="H151" s="24" t="n">
        <v>24200</v>
      </c>
      <c r="I151" s="22" t="n">
        <v>0</v>
      </c>
      <c r="J151" s="12" t="str">
        <f aca="false">IF(I151&lt;=0,"Current",IF(I151&lt;=30,"01-30 days",IF(I151&lt;=90,"31-90 days",IF(I151&lt;=180,"91-180 days","180+ days"))))</f>
        <v>Current</v>
      </c>
      <c r="K151" s="14" t="n">
        <f aca="false">INDEX(Assumptions!$B$11:$B$15,MATCH(J151,Assumptions!$A$11:$A$15,0))</f>
        <v>0.01</v>
      </c>
      <c r="L151" s="13" t="n">
        <f aca="false">H151*K151</f>
        <v>242</v>
      </c>
      <c r="M151" s="13" t="n">
        <f aca="false">IF(I151&gt;Assumptions!$B$5,H151,0)</f>
        <v>0</v>
      </c>
      <c r="N151" s="13" t="n">
        <f aca="false">IF(I151&gt;Assumptions!$B$6,H151,0)</f>
        <v>0</v>
      </c>
    </row>
    <row r="152" customFormat="false" ht="15" hidden="false" customHeight="false" outlineLevel="0" collapsed="false">
      <c r="A152" s="22" t="s">
        <v>236</v>
      </c>
      <c r="B152" s="22" t="s">
        <v>48</v>
      </c>
      <c r="C152" s="22" t="s">
        <v>54</v>
      </c>
      <c r="D152" s="23" t="n">
        <v>45554</v>
      </c>
      <c r="E152" s="24" t="n">
        <v>436000</v>
      </c>
      <c r="F152" s="25" t="n">
        <v>0.15</v>
      </c>
      <c r="G152" s="22" t="n">
        <v>24</v>
      </c>
      <c r="H152" s="24" t="n">
        <v>215400</v>
      </c>
      <c r="I152" s="22" t="n">
        <v>0</v>
      </c>
      <c r="J152" s="12" t="str">
        <f aca="false">IF(I152&lt;=0,"Current",IF(I152&lt;=30,"01-30 days",IF(I152&lt;=90,"31-90 days",IF(I152&lt;=180,"91-180 days","180+ days"))))</f>
        <v>Current</v>
      </c>
      <c r="K152" s="14" t="n">
        <f aca="false">INDEX(Assumptions!$B$11:$B$15,MATCH(J152,Assumptions!$A$11:$A$15,0))</f>
        <v>0.01</v>
      </c>
      <c r="L152" s="13" t="n">
        <f aca="false">H152*K152</f>
        <v>2154</v>
      </c>
      <c r="M152" s="13" t="n">
        <f aca="false">IF(I152&gt;Assumptions!$B$5,H152,0)</f>
        <v>0</v>
      </c>
      <c r="N152" s="13" t="n">
        <f aca="false">IF(I152&gt;Assumptions!$B$6,H152,0)</f>
        <v>0</v>
      </c>
    </row>
    <row r="153" customFormat="false" ht="15" hidden="false" customHeight="false" outlineLevel="0" collapsed="false">
      <c r="A153" s="22" t="s">
        <v>237</v>
      </c>
      <c r="B153" s="22" t="s">
        <v>44</v>
      </c>
      <c r="C153" s="22" t="s">
        <v>55</v>
      </c>
      <c r="D153" s="23" t="n">
        <v>45572</v>
      </c>
      <c r="E153" s="24" t="n">
        <v>217000</v>
      </c>
      <c r="F153" s="25" t="n">
        <v>0.12</v>
      </c>
      <c r="G153" s="22" t="n">
        <v>12</v>
      </c>
      <c r="H153" s="24" t="n">
        <v>61200</v>
      </c>
      <c r="I153" s="22" t="n">
        <v>0</v>
      </c>
      <c r="J153" s="12" t="str">
        <f aca="false">IF(I153&lt;=0,"Current",IF(I153&lt;=30,"01-30 days",IF(I153&lt;=90,"31-90 days",IF(I153&lt;=180,"91-180 days","180+ days"))))</f>
        <v>Current</v>
      </c>
      <c r="K153" s="14" t="n">
        <f aca="false">INDEX(Assumptions!$B$11:$B$15,MATCH(J153,Assumptions!$A$11:$A$15,0))</f>
        <v>0.01</v>
      </c>
      <c r="L153" s="13" t="n">
        <f aca="false">H153*K153</f>
        <v>612</v>
      </c>
      <c r="M153" s="13" t="n">
        <f aca="false">IF(I153&gt;Assumptions!$B$5,H153,0)</f>
        <v>0</v>
      </c>
      <c r="N153" s="13" t="n">
        <f aca="false">IF(I153&gt;Assumptions!$B$6,H153,0)</f>
        <v>0</v>
      </c>
    </row>
    <row r="154" customFormat="false" ht="15" hidden="false" customHeight="false" outlineLevel="0" collapsed="false">
      <c r="A154" s="22" t="s">
        <v>238</v>
      </c>
      <c r="B154" s="22" t="s">
        <v>47</v>
      </c>
      <c r="C154" s="22" t="s">
        <v>54</v>
      </c>
      <c r="D154" s="23" t="n">
        <v>46017</v>
      </c>
      <c r="E154" s="24" t="n">
        <v>278000</v>
      </c>
      <c r="F154" s="25" t="n">
        <v>0.15</v>
      </c>
      <c r="G154" s="22" t="n">
        <v>24</v>
      </c>
      <c r="H154" s="24" t="n">
        <v>228000</v>
      </c>
      <c r="I154" s="22" t="n">
        <v>70</v>
      </c>
      <c r="J154" s="12" t="str">
        <f aca="false">IF(I154&lt;=0,"Current",IF(I154&lt;=30,"01-30 days",IF(I154&lt;=90,"31-90 days",IF(I154&lt;=180,"91-180 days","180+ days"))))</f>
        <v>31-90 days</v>
      </c>
      <c r="K154" s="14" t="n">
        <f aca="false">INDEX(Assumptions!$B$11:$B$15,MATCH(J154,Assumptions!$A$11:$A$15,0))</f>
        <v>0.25</v>
      </c>
      <c r="L154" s="13" t="n">
        <f aca="false">H154*K154</f>
        <v>57000</v>
      </c>
      <c r="M154" s="13" t="n">
        <f aca="false">IF(I154&gt;Assumptions!$B$5,H154,0)</f>
        <v>228000</v>
      </c>
      <c r="N154" s="13" t="n">
        <f aca="false">IF(I154&gt;Assumptions!$B$6,H154,0)</f>
        <v>0</v>
      </c>
    </row>
    <row r="155" customFormat="false" ht="15" hidden="false" customHeight="false" outlineLevel="0" collapsed="false">
      <c r="A155" s="22" t="s">
        <v>239</v>
      </c>
      <c r="B155" s="22" t="s">
        <v>44</v>
      </c>
      <c r="C155" s="22" t="s">
        <v>53</v>
      </c>
      <c r="D155" s="23" t="n">
        <v>46012</v>
      </c>
      <c r="E155" s="24" t="n">
        <v>122000</v>
      </c>
      <c r="F155" s="25" t="n">
        <v>0.18</v>
      </c>
      <c r="G155" s="22" t="n">
        <v>6</v>
      </c>
      <c r="H155" s="24" t="n">
        <v>27700</v>
      </c>
      <c r="I155" s="22" t="n">
        <v>0</v>
      </c>
      <c r="J155" s="12" t="str">
        <f aca="false">IF(I155&lt;=0,"Current",IF(I155&lt;=30,"01-30 days",IF(I155&lt;=90,"31-90 days",IF(I155&lt;=180,"91-180 days","180+ days"))))</f>
        <v>Current</v>
      </c>
      <c r="K155" s="14" t="n">
        <f aca="false">INDEX(Assumptions!$B$11:$B$15,MATCH(J155,Assumptions!$A$11:$A$15,0))</f>
        <v>0.01</v>
      </c>
      <c r="L155" s="13" t="n">
        <f aca="false">H155*K155</f>
        <v>277</v>
      </c>
      <c r="M155" s="13" t="n">
        <f aca="false">IF(I155&gt;Assumptions!$B$5,H155,0)</f>
        <v>0</v>
      </c>
      <c r="N155" s="13" t="n">
        <f aca="false">IF(I155&gt;Assumptions!$B$6,H155,0)</f>
        <v>0</v>
      </c>
    </row>
    <row r="156" customFormat="false" ht="15" hidden="false" customHeight="false" outlineLevel="0" collapsed="false">
      <c r="A156" s="22" t="s">
        <v>240</v>
      </c>
      <c r="B156" s="22" t="s">
        <v>44</v>
      </c>
      <c r="C156" s="22" t="s">
        <v>53</v>
      </c>
      <c r="D156" s="23" t="n">
        <v>45729</v>
      </c>
      <c r="E156" s="24" t="n">
        <v>28000</v>
      </c>
      <c r="F156" s="25" t="n">
        <v>0.18</v>
      </c>
      <c r="G156" s="22" t="n">
        <v>6</v>
      </c>
      <c r="H156" s="24" t="n">
        <v>8900</v>
      </c>
      <c r="I156" s="22" t="n">
        <v>268</v>
      </c>
      <c r="J156" s="12" t="str">
        <f aca="false">IF(I156&lt;=0,"Current",IF(I156&lt;=30,"01-30 days",IF(I156&lt;=90,"31-90 days",IF(I156&lt;=180,"91-180 days","180+ days"))))</f>
        <v>180+ days</v>
      </c>
      <c r="K156" s="14" t="n">
        <f aca="false">INDEX(Assumptions!$B$11:$B$15,MATCH(J156,Assumptions!$A$11:$A$15,0))</f>
        <v>1</v>
      </c>
      <c r="L156" s="13" t="n">
        <f aca="false">H156*K156</f>
        <v>8900</v>
      </c>
      <c r="M156" s="13" t="n">
        <f aca="false">IF(I156&gt;Assumptions!$B$5,H156,0)</f>
        <v>8900</v>
      </c>
      <c r="N156" s="13" t="n">
        <f aca="false">IF(I156&gt;Assumptions!$B$6,H156,0)</f>
        <v>8900</v>
      </c>
    </row>
    <row r="157" customFormat="false" ht="15" hidden="false" customHeight="false" outlineLevel="0" collapsed="false">
      <c r="A157" s="22" t="s">
        <v>241</v>
      </c>
      <c r="B157" s="22" t="s">
        <v>49</v>
      </c>
      <c r="C157" s="22" t="s">
        <v>53</v>
      </c>
      <c r="D157" s="23" t="n">
        <v>45687</v>
      </c>
      <c r="E157" s="24" t="n">
        <v>72000</v>
      </c>
      <c r="F157" s="25" t="n">
        <v>0.18</v>
      </c>
      <c r="G157" s="22" t="n">
        <v>6</v>
      </c>
      <c r="H157" s="24" t="n">
        <v>55800</v>
      </c>
      <c r="I157" s="22" t="n">
        <v>0</v>
      </c>
      <c r="J157" s="12" t="str">
        <f aca="false">IF(I157&lt;=0,"Current",IF(I157&lt;=30,"01-30 days",IF(I157&lt;=90,"31-90 days",IF(I157&lt;=180,"91-180 days","180+ days"))))</f>
        <v>Current</v>
      </c>
      <c r="K157" s="14" t="n">
        <f aca="false">INDEX(Assumptions!$B$11:$B$15,MATCH(J157,Assumptions!$A$11:$A$15,0))</f>
        <v>0.01</v>
      </c>
      <c r="L157" s="13" t="n">
        <f aca="false">H157*K157</f>
        <v>558</v>
      </c>
      <c r="M157" s="13" t="n">
        <f aca="false">IF(I157&gt;Assumptions!$B$5,H157,0)</f>
        <v>0</v>
      </c>
      <c r="N157" s="13" t="n">
        <f aca="false">IF(I157&gt;Assumptions!$B$6,H157,0)</f>
        <v>0</v>
      </c>
    </row>
    <row r="158" customFormat="false" ht="15" hidden="false" customHeight="false" outlineLevel="0" collapsed="false">
      <c r="A158" s="22" t="s">
        <v>242</v>
      </c>
      <c r="B158" s="22" t="s">
        <v>46</v>
      </c>
      <c r="C158" s="22" t="s">
        <v>55</v>
      </c>
      <c r="D158" s="23" t="n">
        <v>46008</v>
      </c>
      <c r="E158" s="24" t="n">
        <v>189000</v>
      </c>
      <c r="F158" s="25" t="n">
        <v>0.12</v>
      </c>
      <c r="G158" s="22" t="n">
        <v>12</v>
      </c>
      <c r="H158" s="24" t="n">
        <v>40000</v>
      </c>
      <c r="I158" s="22" t="n">
        <v>0</v>
      </c>
      <c r="J158" s="12" t="str">
        <f aca="false">IF(I158&lt;=0,"Current",IF(I158&lt;=30,"01-30 days",IF(I158&lt;=90,"31-90 days",IF(I158&lt;=180,"91-180 days","180+ days"))))</f>
        <v>Current</v>
      </c>
      <c r="K158" s="14" t="n">
        <f aca="false">INDEX(Assumptions!$B$11:$B$15,MATCH(J158,Assumptions!$A$11:$A$15,0))</f>
        <v>0.01</v>
      </c>
      <c r="L158" s="13" t="n">
        <f aca="false">H158*K158</f>
        <v>400</v>
      </c>
      <c r="M158" s="13" t="n">
        <f aca="false">IF(I158&gt;Assumptions!$B$5,H158,0)</f>
        <v>0</v>
      </c>
      <c r="N158" s="13" t="n">
        <f aca="false">IF(I158&gt;Assumptions!$B$6,H158,0)</f>
        <v>0</v>
      </c>
    </row>
    <row r="159" customFormat="false" ht="15" hidden="false" customHeight="false" outlineLevel="0" collapsed="false">
      <c r="A159" s="22" t="s">
        <v>243</v>
      </c>
      <c r="B159" s="22" t="s">
        <v>45</v>
      </c>
      <c r="C159" s="22" t="s">
        <v>53</v>
      </c>
      <c r="D159" s="23" t="n">
        <v>45501</v>
      </c>
      <c r="E159" s="24" t="n">
        <v>24000</v>
      </c>
      <c r="F159" s="25" t="n">
        <v>0.18</v>
      </c>
      <c r="G159" s="22" t="n">
        <v>6</v>
      </c>
      <c r="H159" s="24" t="n">
        <v>9500</v>
      </c>
      <c r="I159" s="22" t="n">
        <v>72</v>
      </c>
      <c r="J159" s="12" t="str">
        <f aca="false">IF(I159&lt;=0,"Current",IF(I159&lt;=30,"01-30 days",IF(I159&lt;=90,"31-90 days",IF(I159&lt;=180,"91-180 days","180+ days"))))</f>
        <v>31-90 days</v>
      </c>
      <c r="K159" s="14" t="n">
        <f aca="false">INDEX(Assumptions!$B$11:$B$15,MATCH(J159,Assumptions!$A$11:$A$15,0))</f>
        <v>0.25</v>
      </c>
      <c r="L159" s="13" t="n">
        <f aca="false">H159*K159</f>
        <v>2375</v>
      </c>
      <c r="M159" s="13" t="n">
        <f aca="false">IF(I159&gt;Assumptions!$B$5,H159,0)</f>
        <v>9500</v>
      </c>
      <c r="N159" s="13" t="n">
        <f aca="false">IF(I159&gt;Assumptions!$B$6,H159,0)</f>
        <v>0</v>
      </c>
    </row>
    <row r="160" customFormat="false" ht="15" hidden="false" customHeight="false" outlineLevel="0" collapsed="false">
      <c r="A160" s="22" t="s">
        <v>244</v>
      </c>
      <c r="B160" s="22" t="s">
        <v>46</v>
      </c>
      <c r="C160" s="22" t="s">
        <v>54</v>
      </c>
      <c r="D160" s="23" t="n">
        <v>45551</v>
      </c>
      <c r="E160" s="24" t="n">
        <v>472000</v>
      </c>
      <c r="F160" s="25" t="n">
        <v>0.15</v>
      </c>
      <c r="G160" s="22" t="n">
        <v>24</v>
      </c>
      <c r="H160" s="24" t="n">
        <v>130700</v>
      </c>
      <c r="I160" s="22" t="n">
        <v>0</v>
      </c>
      <c r="J160" s="12" t="str">
        <f aca="false">IF(I160&lt;=0,"Current",IF(I160&lt;=30,"01-30 days",IF(I160&lt;=90,"31-90 days",IF(I160&lt;=180,"91-180 days","180+ days"))))</f>
        <v>Current</v>
      </c>
      <c r="K160" s="14" t="n">
        <f aca="false">INDEX(Assumptions!$B$11:$B$15,MATCH(J160,Assumptions!$A$11:$A$15,0))</f>
        <v>0.01</v>
      </c>
      <c r="L160" s="13" t="n">
        <f aca="false">H160*K160</f>
        <v>1307</v>
      </c>
      <c r="M160" s="13" t="n">
        <f aca="false">IF(I160&gt;Assumptions!$B$5,H160,0)</f>
        <v>0</v>
      </c>
      <c r="N160" s="13" t="n">
        <f aca="false">IF(I160&gt;Assumptions!$B$6,H160,0)</f>
        <v>0</v>
      </c>
    </row>
    <row r="161" customFormat="false" ht="15" hidden="false" customHeight="false" outlineLevel="0" collapsed="false">
      <c r="A161" s="22" t="s">
        <v>245</v>
      </c>
      <c r="B161" s="22" t="s">
        <v>48</v>
      </c>
      <c r="C161" s="22" t="s">
        <v>54</v>
      </c>
      <c r="D161" s="23" t="n">
        <v>45817</v>
      </c>
      <c r="E161" s="24" t="n">
        <v>330000</v>
      </c>
      <c r="F161" s="25" t="n">
        <v>0.15</v>
      </c>
      <c r="G161" s="22" t="n">
        <v>24</v>
      </c>
      <c r="H161" s="24" t="n">
        <v>123900</v>
      </c>
      <c r="I161" s="22" t="n">
        <v>0</v>
      </c>
      <c r="J161" s="12" t="str">
        <f aca="false">IF(I161&lt;=0,"Current",IF(I161&lt;=30,"01-30 days",IF(I161&lt;=90,"31-90 days",IF(I161&lt;=180,"91-180 days","180+ days"))))</f>
        <v>Current</v>
      </c>
      <c r="K161" s="14" t="n">
        <f aca="false">INDEX(Assumptions!$B$11:$B$15,MATCH(J161,Assumptions!$A$11:$A$15,0))</f>
        <v>0.01</v>
      </c>
      <c r="L161" s="13" t="n">
        <f aca="false">H161*K161</f>
        <v>1239</v>
      </c>
      <c r="M161" s="13" t="n">
        <f aca="false">IF(I161&gt;Assumptions!$B$5,H161,0)</f>
        <v>0</v>
      </c>
      <c r="N161" s="13" t="n">
        <f aca="false">IF(I161&gt;Assumptions!$B$6,H161,0)</f>
        <v>0</v>
      </c>
    </row>
    <row r="162" customFormat="false" ht="15" hidden="false" customHeight="false" outlineLevel="0" collapsed="false">
      <c r="A162" s="22" t="s">
        <v>246</v>
      </c>
      <c r="B162" s="22" t="s">
        <v>44</v>
      </c>
      <c r="C162" s="22" t="s">
        <v>53</v>
      </c>
      <c r="D162" s="23" t="n">
        <v>45882</v>
      </c>
      <c r="E162" s="24" t="n">
        <v>70000</v>
      </c>
      <c r="F162" s="25" t="n">
        <v>0.18</v>
      </c>
      <c r="G162" s="22" t="n">
        <v>6</v>
      </c>
      <c r="H162" s="24" t="n">
        <v>43800</v>
      </c>
      <c r="I162" s="22" t="n">
        <v>22</v>
      </c>
      <c r="J162" s="12" t="str">
        <f aca="false">IF(I162&lt;=0,"Current",IF(I162&lt;=30,"01-30 days",IF(I162&lt;=90,"31-90 days",IF(I162&lt;=180,"91-180 days","180+ days"))))</f>
        <v>01-30 days</v>
      </c>
      <c r="K162" s="14" t="n">
        <f aca="false">INDEX(Assumptions!$B$11:$B$15,MATCH(J162,Assumptions!$A$11:$A$15,0))</f>
        <v>0.05</v>
      </c>
      <c r="L162" s="13" t="n">
        <f aca="false">H162*K162</f>
        <v>2190</v>
      </c>
      <c r="M162" s="13" t="n">
        <f aca="false">IF(I162&gt;Assumptions!$B$5,H162,0)</f>
        <v>0</v>
      </c>
      <c r="N162" s="13" t="n">
        <f aca="false">IF(I162&gt;Assumptions!$B$6,H162,0)</f>
        <v>0</v>
      </c>
    </row>
    <row r="163" customFormat="false" ht="15" hidden="false" customHeight="false" outlineLevel="0" collapsed="false">
      <c r="A163" s="22" t="s">
        <v>247</v>
      </c>
      <c r="B163" s="22" t="s">
        <v>46</v>
      </c>
      <c r="C163" s="22" t="s">
        <v>54</v>
      </c>
      <c r="D163" s="23" t="n">
        <v>45564</v>
      </c>
      <c r="E163" s="24" t="n">
        <v>218000</v>
      </c>
      <c r="F163" s="25" t="n">
        <v>0.15</v>
      </c>
      <c r="G163" s="22" t="n">
        <v>24</v>
      </c>
      <c r="H163" s="24" t="n">
        <v>58600</v>
      </c>
      <c r="I163" s="22" t="n">
        <v>0</v>
      </c>
      <c r="J163" s="12" t="str">
        <f aca="false">IF(I163&lt;=0,"Current",IF(I163&lt;=30,"01-30 days",IF(I163&lt;=90,"31-90 days",IF(I163&lt;=180,"91-180 days","180+ days"))))</f>
        <v>Current</v>
      </c>
      <c r="K163" s="14" t="n">
        <f aca="false">INDEX(Assumptions!$B$11:$B$15,MATCH(J163,Assumptions!$A$11:$A$15,0))</f>
        <v>0.01</v>
      </c>
      <c r="L163" s="13" t="n">
        <f aca="false">H163*K163</f>
        <v>586</v>
      </c>
      <c r="M163" s="13" t="n">
        <f aca="false">IF(I163&gt;Assumptions!$B$5,H163,0)</f>
        <v>0</v>
      </c>
      <c r="N163" s="13" t="n">
        <f aca="false">IF(I163&gt;Assumptions!$B$6,H163,0)</f>
        <v>0</v>
      </c>
    </row>
    <row r="164" customFormat="false" ht="15" hidden="false" customHeight="false" outlineLevel="0" collapsed="false">
      <c r="A164" s="22" t="s">
        <v>248</v>
      </c>
      <c r="B164" s="22" t="s">
        <v>46</v>
      </c>
      <c r="C164" s="22" t="s">
        <v>52</v>
      </c>
      <c r="D164" s="23" t="n">
        <v>45865</v>
      </c>
      <c r="E164" s="24" t="n">
        <v>563000</v>
      </c>
      <c r="F164" s="25" t="n">
        <v>0.14</v>
      </c>
      <c r="G164" s="22" t="n">
        <v>36</v>
      </c>
      <c r="H164" s="24" t="n">
        <v>523700</v>
      </c>
      <c r="I164" s="22" t="n">
        <v>67</v>
      </c>
      <c r="J164" s="12" t="str">
        <f aca="false">IF(I164&lt;=0,"Current",IF(I164&lt;=30,"01-30 days",IF(I164&lt;=90,"31-90 days",IF(I164&lt;=180,"91-180 days","180+ days"))))</f>
        <v>31-90 days</v>
      </c>
      <c r="K164" s="14" t="n">
        <f aca="false">INDEX(Assumptions!$B$11:$B$15,MATCH(J164,Assumptions!$A$11:$A$15,0))</f>
        <v>0.25</v>
      </c>
      <c r="L164" s="13" t="n">
        <f aca="false">H164*K164</f>
        <v>130925</v>
      </c>
      <c r="M164" s="13" t="n">
        <f aca="false">IF(I164&gt;Assumptions!$B$5,H164,0)</f>
        <v>523700</v>
      </c>
      <c r="N164" s="13" t="n">
        <f aca="false">IF(I164&gt;Assumptions!$B$6,H164,0)</f>
        <v>0</v>
      </c>
    </row>
    <row r="165" customFormat="false" ht="15" hidden="false" customHeight="false" outlineLevel="0" collapsed="false">
      <c r="A165" s="22" t="s">
        <v>249</v>
      </c>
      <c r="B165" s="22" t="s">
        <v>49</v>
      </c>
      <c r="C165" s="22" t="s">
        <v>53</v>
      </c>
      <c r="D165" s="23" t="n">
        <v>45538</v>
      </c>
      <c r="E165" s="24" t="n">
        <v>105000</v>
      </c>
      <c r="F165" s="25" t="n">
        <v>0.18</v>
      </c>
      <c r="G165" s="22" t="n">
        <v>6</v>
      </c>
      <c r="H165" s="24" t="n">
        <v>68400</v>
      </c>
      <c r="I165" s="22" t="n">
        <v>356</v>
      </c>
      <c r="J165" s="12" t="str">
        <f aca="false">IF(I165&lt;=0,"Current",IF(I165&lt;=30,"01-30 days",IF(I165&lt;=90,"31-90 days",IF(I165&lt;=180,"91-180 days","180+ days"))))</f>
        <v>180+ days</v>
      </c>
      <c r="K165" s="14" t="n">
        <f aca="false">INDEX(Assumptions!$B$11:$B$15,MATCH(J165,Assumptions!$A$11:$A$15,0))</f>
        <v>1</v>
      </c>
      <c r="L165" s="13" t="n">
        <f aca="false">H165*K165</f>
        <v>68400</v>
      </c>
      <c r="M165" s="13" t="n">
        <f aca="false">IF(I165&gt;Assumptions!$B$5,H165,0)</f>
        <v>68400</v>
      </c>
      <c r="N165" s="13" t="n">
        <f aca="false">IF(I165&gt;Assumptions!$B$6,H165,0)</f>
        <v>68400</v>
      </c>
    </row>
    <row r="166" customFormat="false" ht="15" hidden="false" customHeight="false" outlineLevel="0" collapsed="false">
      <c r="A166" s="22" t="s">
        <v>250</v>
      </c>
      <c r="B166" s="22" t="s">
        <v>48</v>
      </c>
      <c r="C166" s="22" t="s">
        <v>54</v>
      </c>
      <c r="D166" s="23" t="n">
        <v>46122</v>
      </c>
      <c r="E166" s="24" t="n">
        <v>475000</v>
      </c>
      <c r="F166" s="25" t="n">
        <v>0.15</v>
      </c>
      <c r="G166" s="22" t="n">
        <v>24</v>
      </c>
      <c r="H166" s="24" t="n">
        <v>154100</v>
      </c>
      <c r="I166" s="22" t="n">
        <v>0</v>
      </c>
      <c r="J166" s="12" t="str">
        <f aca="false">IF(I166&lt;=0,"Current",IF(I166&lt;=30,"01-30 days",IF(I166&lt;=90,"31-90 days",IF(I166&lt;=180,"91-180 days","180+ days"))))</f>
        <v>Current</v>
      </c>
      <c r="K166" s="14" t="n">
        <f aca="false">INDEX(Assumptions!$B$11:$B$15,MATCH(J166,Assumptions!$A$11:$A$15,0))</f>
        <v>0.01</v>
      </c>
      <c r="L166" s="13" t="n">
        <f aca="false">H166*K166</f>
        <v>1541</v>
      </c>
      <c r="M166" s="13" t="n">
        <f aca="false">IF(I166&gt;Assumptions!$B$5,H166,0)</f>
        <v>0</v>
      </c>
      <c r="N166" s="13" t="n">
        <f aca="false">IF(I166&gt;Assumptions!$B$6,H166,0)</f>
        <v>0</v>
      </c>
    </row>
    <row r="167" customFormat="false" ht="15" hidden="false" customHeight="false" outlineLevel="0" collapsed="false">
      <c r="A167" s="22" t="s">
        <v>251</v>
      </c>
      <c r="B167" s="22" t="s">
        <v>44</v>
      </c>
      <c r="C167" s="22" t="s">
        <v>52</v>
      </c>
      <c r="D167" s="23" t="n">
        <v>45966</v>
      </c>
      <c r="E167" s="24" t="n">
        <v>513000</v>
      </c>
      <c r="F167" s="25" t="n">
        <v>0.14</v>
      </c>
      <c r="G167" s="22" t="n">
        <v>36</v>
      </c>
      <c r="H167" s="24" t="n">
        <v>171900</v>
      </c>
      <c r="I167" s="22" t="n">
        <v>0</v>
      </c>
      <c r="J167" s="12" t="str">
        <f aca="false">IF(I167&lt;=0,"Current",IF(I167&lt;=30,"01-30 days",IF(I167&lt;=90,"31-90 days",IF(I167&lt;=180,"91-180 days","180+ days"))))</f>
        <v>Current</v>
      </c>
      <c r="K167" s="14" t="n">
        <f aca="false">INDEX(Assumptions!$B$11:$B$15,MATCH(J167,Assumptions!$A$11:$A$15,0))</f>
        <v>0.01</v>
      </c>
      <c r="L167" s="13" t="n">
        <f aca="false">H167*K167</f>
        <v>1719</v>
      </c>
      <c r="M167" s="13" t="n">
        <f aca="false">IF(I167&gt;Assumptions!$B$5,H167,0)</f>
        <v>0</v>
      </c>
      <c r="N167" s="13" t="n">
        <f aca="false">IF(I167&gt;Assumptions!$B$6,H167,0)</f>
        <v>0</v>
      </c>
    </row>
    <row r="168" customFormat="false" ht="15" hidden="false" customHeight="false" outlineLevel="0" collapsed="false">
      <c r="A168" s="22" t="s">
        <v>252</v>
      </c>
      <c r="B168" s="22" t="s">
        <v>44</v>
      </c>
      <c r="C168" s="22" t="s">
        <v>55</v>
      </c>
      <c r="D168" s="23" t="n">
        <v>45308</v>
      </c>
      <c r="E168" s="24" t="n">
        <v>187000</v>
      </c>
      <c r="F168" s="25" t="n">
        <v>0.12</v>
      </c>
      <c r="G168" s="22" t="n">
        <v>12</v>
      </c>
      <c r="H168" s="24" t="n">
        <v>120400</v>
      </c>
      <c r="I168" s="22" t="n">
        <v>0</v>
      </c>
      <c r="J168" s="12" t="str">
        <f aca="false">IF(I168&lt;=0,"Current",IF(I168&lt;=30,"01-30 days",IF(I168&lt;=90,"31-90 days",IF(I168&lt;=180,"91-180 days","180+ days"))))</f>
        <v>Current</v>
      </c>
      <c r="K168" s="14" t="n">
        <f aca="false">INDEX(Assumptions!$B$11:$B$15,MATCH(J168,Assumptions!$A$11:$A$15,0))</f>
        <v>0.01</v>
      </c>
      <c r="L168" s="13" t="n">
        <f aca="false">H168*K168</f>
        <v>1204</v>
      </c>
      <c r="M168" s="13" t="n">
        <f aca="false">IF(I168&gt;Assumptions!$B$5,H168,0)</f>
        <v>0</v>
      </c>
      <c r="N168" s="13" t="n">
        <f aca="false">IF(I168&gt;Assumptions!$B$6,H168,0)</f>
        <v>0</v>
      </c>
    </row>
    <row r="169" customFormat="false" ht="15" hidden="false" customHeight="false" outlineLevel="0" collapsed="false">
      <c r="A169" s="22" t="s">
        <v>253</v>
      </c>
      <c r="B169" s="22" t="s">
        <v>44</v>
      </c>
      <c r="C169" s="22" t="s">
        <v>55</v>
      </c>
      <c r="D169" s="23" t="n">
        <v>45413</v>
      </c>
      <c r="E169" s="24" t="n">
        <v>149000</v>
      </c>
      <c r="F169" s="25" t="n">
        <v>0.12</v>
      </c>
      <c r="G169" s="22" t="n">
        <v>12</v>
      </c>
      <c r="H169" s="24" t="n">
        <v>33500</v>
      </c>
      <c r="I169" s="22" t="n">
        <v>0</v>
      </c>
      <c r="J169" s="12" t="str">
        <f aca="false">IF(I169&lt;=0,"Current",IF(I169&lt;=30,"01-30 days",IF(I169&lt;=90,"31-90 days",IF(I169&lt;=180,"91-180 days","180+ days"))))</f>
        <v>Current</v>
      </c>
      <c r="K169" s="14" t="n">
        <f aca="false">INDEX(Assumptions!$B$11:$B$15,MATCH(J169,Assumptions!$A$11:$A$15,0))</f>
        <v>0.01</v>
      </c>
      <c r="L169" s="13" t="n">
        <f aca="false">H169*K169</f>
        <v>335</v>
      </c>
      <c r="M169" s="13" t="n">
        <f aca="false">IF(I169&gt;Assumptions!$B$5,H169,0)</f>
        <v>0</v>
      </c>
      <c r="N169" s="13" t="n">
        <f aca="false">IF(I169&gt;Assumptions!$B$6,H169,0)</f>
        <v>0</v>
      </c>
    </row>
    <row r="170" customFormat="false" ht="15" hidden="false" customHeight="false" outlineLevel="0" collapsed="false">
      <c r="A170" s="22" t="s">
        <v>254</v>
      </c>
      <c r="B170" s="22" t="s">
        <v>47</v>
      </c>
      <c r="C170" s="22" t="s">
        <v>53</v>
      </c>
      <c r="D170" s="23" t="n">
        <v>45873</v>
      </c>
      <c r="E170" s="24" t="n">
        <v>106000</v>
      </c>
      <c r="F170" s="25" t="n">
        <v>0.18</v>
      </c>
      <c r="G170" s="22" t="n">
        <v>6</v>
      </c>
      <c r="H170" s="24" t="n">
        <v>62500</v>
      </c>
      <c r="I170" s="22" t="n">
        <v>0</v>
      </c>
      <c r="J170" s="12" t="str">
        <f aca="false">IF(I170&lt;=0,"Current",IF(I170&lt;=30,"01-30 days",IF(I170&lt;=90,"31-90 days",IF(I170&lt;=180,"91-180 days","180+ days"))))</f>
        <v>Current</v>
      </c>
      <c r="K170" s="14" t="n">
        <f aca="false">INDEX(Assumptions!$B$11:$B$15,MATCH(J170,Assumptions!$A$11:$A$15,0))</f>
        <v>0.01</v>
      </c>
      <c r="L170" s="13" t="n">
        <f aca="false">H170*K170</f>
        <v>625</v>
      </c>
      <c r="M170" s="13" t="n">
        <f aca="false">IF(I170&gt;Assumptions!$B$5,H170,0)</f>
        <v>0</v>
      </c>
      <c r="N170" s="13" t="n">
        <f aca="false">IF(I170&gt;Assumptions!$B$6,H170,0)</f>
        <v>0</v>
      </c>
    </row>
    <row r="171" customFormat="false" ht="15" hidden="false" customHeight="false" outlineLevel="0" collapsed="false">
      <c r="A171" s="22" t="s">
        <v>255</v>
      </c>
      <c r="B171" s="22" t="s">
        <v>49</v>
      </c>
      <c r="C171" s="22" t="s">
        <v>52</v>
      </c>
      <c r="D171" s="23" t="n">
        <v>46098</v>
      </c>
      <c r="E171" s="24" t="n">
        <v>757000</v>
      </c>
      <c r="F171" s="25" t="n">
        <v>0.14</v>
      </c>
      <c r="G171" s="22" t="n">
        <v>36</v>
      </c>
      <c r="H171" s="24" t="n">
        <v>596500</v>
      </c>
      <c r="I171" s="22" t="n">
        <v>0</v>
      </c>
      <c r="J171" s="12" t="str">
        <f aca="false">IF(I171&lt;=0,"Current",IF(I171&lt;=30,"01-30 days",IF(I171&lt;=90,"31-90 days",IF(I171&lt;=180,"91-180 days","180+ days"))))</f>
        <v>Current</v>
      </c>
      <c r="K171" s="14" t="n">
        <f aca="false">INDEX(Assumptions!$B$11:$B$15,MATCH(J171,Assumptions!$A$11:$A$15,0))</f>
        <v>0.01</v>
      </c>
      <c r="L171" s="13" t="n">
        <f aca="false">H171*K171</f>
        <v>5965</v>
      </c>
      <c r="M171" s="13" t="n">
        <f aca="false">IF(I171&gt;Assumptions!$B$5,H171,0)</f>
        <v>0</v>
      </c>
      <c r="N171" s="13" t="n">
        <f aca="false">IF(I171&gt;Assumptions!$B$6,H171,0)</f>
        <v>0</v>
      </c>
    </row>
    <row r="172" customFormat="false" ht="15" hidden="false" customHeight="false" outlineLevel="0" collapsed="false">
      <c r="A172" s="22" t="s">
        <v>256</v>
      </c>
      <c r="B172" s="22" t="s">
        <v>44</v>
      </c>
      <c r="C172" s="22" t="s">
        <v>55</v>
      </c>
      <c r="D172" s="23" t="n">
        <v>45930</v>
      </c>
      <c r="E172" s="24" t="n">
        <v>183000</v>
      </c>
      <c r="F172" s="25" t="n">
        <v>0.12</v>
      </c>
      <c r="G172" s="22" t="n">
        <v>12</v>
      </c>
      <c r="H172" s="24" t="n">
        <v>50700</v>
      </c>
      <c r="I172" s="22" t="n">
        <v>0</v>
      </c>
      <c r="J172" s="12" t="str">
        <f aca="false">IF(I172&lt;=0,"Current",IF(I172&lt;=30,"01-30 days",IF(I172&lt;=90,"31-90 days",IF(I172&lt;=180,"91-180 days","180+ days"))))</f>
        <v>Current</v>
      </c>
      <c r="K172" s="14" t="n">
        <f aca="false">INDEX(Assumptions!$B$11:$B$15,MATCH(J172,Assumptions!$A$11:$A$15,0))</f>
        <v>0.01</v>
      </c>
      <c r="L172" s="13" t="n">
        <f aca="false">H172*K172</f>
        <v>507</v>
      </c>
      <c r="M172" s="13" t="n">
        <f aca="false">IF(I172&gt;Assumptions!$B$5,H172,0)</f>
        <v>0</v>
      </c>
      <c r="N172" s="13" t="n">
        <f aca="false">IF(I172&gt;Assumptions!$B$6,H172,0)</f>
        <v>0</v>
      </c>
    </row>
    <row r="173" customFormat="false" ht="15" hidden="false" customHeight="false" outlineLevel="0" collapsed="false">
      <c r="A173" s="22" t="s">
        <v>257</v>
      </c>
      <c r="B173" s="22" t="s">
        <v>49</v>
      </c>
      <c r="C173" s="22" t="s">
        <v>56</v>
      </c>
      <c r="D173" s="23" t="n">
        <v>45766</v>
      </c>
      <c r="E173" s="24" t="n">
        <v>1033000</v>
      </c>
      <c r="F173" s="25" t="n">
        <v>0.16</v>
      </c>
      <c r="G173" s="22" t="n">
        <v>48</v>
      </c>
      <c r="H173" s="24" t="n">
        <v>789000</v>
      </c>
      <c r="I173" s="22" t="n">
        <v>0</v>
      </c>
      <c r="J173" s="12" t="str">
        <f aca="false">IF(I173&lt;=0,"Current",IF(I173&lt;=30,"01-30 days",IF(I173&lt;=90,"31-90 days",IF(I173&lt;=180,"91-180 days","180+ days"))))</f>
        <v>Current</v>
      </c>
      <c r="K173" s="14" t="n">
        <f aca="false">INDEX(Assumptions!$B$11:$B$15,MATCH(J173,Assumptions!$A$11:$A$15,0))</f>
        <v>0.01</v>
      </c>
      <c r="L173" s="13" t="n">
        <f aca="false">H173*K173</f>
        <v>7890</v>
      </c>
      <c r="M173" s="13" t="n">
        <f aca="false">IF(I173&gt;Assumptions!$B$5,H173,0)</f>
        <v>0</v>
      </c>
      <c r="N173" s="13" t="n">
        <f aca="false">IF(I173&gt;Assumptions!$B$6,H173,0)</f>
        <v>0</v>
      </c>
    </row>
    <row r="174" customFormat="false" ht="15" hidden="false" customHeight="false" outlineLevel="0" collapsed="false">
      <c r="A174" s="22" t="s">
        <v>258</v>
      </c>
      <c r="B174" s="22" t="s">
        <v>48</v>
      </c>
      <c r="C174" s="22" t="s">
        <v>55</v>
      </c>
      <c r="D174" s="23" t="n">
        <v>45830</v>
      </c>
      <c r="E174" s="24" t="n">
        <v>241000</v>
      </c>
      <c r="F174" s="25" t="n">
        <v>0.12</v>
      </c>
      <c r="G174" s="22" t="n">
        <v>12</v>
      </c>
      <c r="H174" s="24" t="n">
        <v>126600</v>
      </c>
      <c r="I174" s="22" t="n">
        <v>0</v>
      </c>
      <c r="J174" s="12" t="str">
        <f aca="false">IF(I174&lt;=0,"Current",IF(I174&lt;=30,"01-30 days",IF(I174&lt;=90,"31-90 days",IF(I174&lt;=180,"91-180 days","180+ days"))))</f>
        <v>Current</v>
      </c>
      <c r="K174" s="14" t="n">
        <f aca="false">INDEX(Assumptions!$B$11:$B$15,MATCH(J174,Assumptions!$A$11:$A$15,0))</f>
        <v>0.01</v>
      </c>
      <c r="L174" s="13" t="n">
        <f aca="false">H174*K174</f>
        <v>1266</v>
      </c>
      <c r="M174" s="13" t="n">
        <f aca="false">IF(I174&gt;Assumptions!$B$5,H174,0)</f>
        <v>0</v>
      </c>
      <c r="N174" s="13" t="n">
        <f aca="false">IF(I174&gt;Assumptions!$B$6,H174,0)</f>
        <v>0</v>
      </c>
    </row>
    <row r="175" customFormat="false" ht="15" hidden="false" customHeight="false" outlineLevel="0" collapsed="false">
      <c r="A175" s="22" t="s">
        <v>259</v>
      </c>
      <c r="B175" s="22" t="s">
        <v>45</v>
      </c>
      <c r="C175" s="22" t="s">
        <v>56</v>
      </c>
      <c r="D175" s="23" t="n">
        <v>45735</v>
      </c>
      <c r="E175" s="24" t="n">
        <v>1085000</v>
      </c>
      <c r="F175" s="25" t="n">
        <v>0.16</v>
      </c>
      <c r="G175" s="22" t="n">
        <v>48</v>
      </c>
      <c r="H175" s="24" t="n">
        <v>559100</v>
      </c>
      <c r="I175" s="22" t="n">
        <v>34</v>
      </c>
      <c r="J175" s="12" t="str">
        <f aca="false">IF(I175&lt;=0,"Current",IF(I175&lt;=30,"01-30 days",IF(I175&lt;=90,"31-90 days",IF(I175&lt;=180,"91-180 days","180+ days"))))</f>
        <v>31-90 days</v>
      </c>
      <c r="K175" s="14" t="n">
        <f aca="false">INDEX(Assumptions!$B$11:$B$15,MATCH(J175,Assumptions!$A$11:$A$15,0))</f>
        <v>0.25</v>
      </c>
      <c r="L175" s="13" t="n">
        <f aca="false">H175*K175</f>
        <v>139775</v>
      </c>
      <c r="M175" s="13" t="n">
        <f aca="false">IF(I175&gt;Assumptions!$B$5,H175,0)</f>
        <v>559100</v>
      </c>
      <c r="N175" s="13" t="n">
        <f aca="false">IF(I175&gt;Assumptions!$B$6,H175,0)</f>
        <v>0</v>
      </c>
    </row>
    <row r="176" customFormat="false" ht="15" hidden="false" customHeight="false" outlineLevel="0" collapsed="false">
      <c r="A176" s="22" t="s">
        <v>260</v>
      </c>
      <c r="B176" s="22" t="s">
        <v>48</v>
      </c>
      <c r="C176" s="22" t="s">
        <v>56</v>
      </c>
      <c r="D176" s="23" t="n">
        <v>45899</v>
      </c>
      <c r="E176" s="24" t="n">
        <v>859000</v>
      </c>
      <c r="F176" s="25" t="n">
        <v>0.16</v>
      </c>
      <c r="G176" s="22" t="n">
        <v>48</v>
      </c>
      <c r="H176" s="24" t="n">
        <v>656200</v>
      </c>
      <c r="I176" s="22" t="n">
        <v>0</v>
      </c>
      <c r="J176" s="12" t="str">
        <f aca="false">IF(I176&lt;=0,"Current",IF(I176&lt;=30,"01-30 days",IF(I176&lt;=90,"31-90 days",IF(I176&lt;=180,"91-180 days","180+ days"))))</f>
        <v>Current</v>
      </c>
      <c r="K176" s="14" t="n">
        <f aca="false">INDEX(Assumptions!$B$11:$B$15,MATCH(J176,Assumptions!$A$11:$A$15,0))</f>
        <v>0.01</v>
      </c>
      <c r="L176" s="13" t="n">
        <f aca="false">H176*K176</f>
        <v>6562</v>
      </c>
      <c r="M176" s="13" t="n">
        <f aca="false">IF(I176&gt;Assumptions!$B$5,H176,0)</f>
        <v>0</v>
      </c>
      <c r="N176" s="13" t="n">
        <f aca="false">IF(I176&gt;Assumptions!$B$6,H176,0)</f>
        <v>0</v>
      </c>
    </row>
    <row r="177" customFormat="false" ht="15" hidden="false" customHeight="false" outlineLevel="0" collapsed="false">
      <c r="A177" s="22" t="s">
        <v>261</v>
      </c>
      <c r="B177" s="22" t="s">
        <v>48</v>
      </c>
      <c r="C177" s="22" t="s">
        <v>53</v>
      </c>
      <c r="D177" s="23" t="n">
        <v>46186</v>
      </c>
      <c r="E177" s="24" t="n">
        <v>51000</v>
      </c>
      <c r="F177" s="25" t="n">
        <v>0.18</v>
      </c>
      <c r="G177" s="22" t="n">
        <v>6</v>
      </c>
      <c r="H177" s="24" t="n">
        <v>42500</v>
      </c>
      <c r="I177" s="22" t="n">
        <v>0</v>
      </c>
      <c r="J177" s="12" t="str">
        <f aca="false">IF(I177&lt;=0,"Current",IF(I177&lt;=30,"01-30 days",IF(I177&lt;=90,"31-90 days",IF(I177&lt;=180,"91-180 days","180+ days"))))</f>
        <v>Current</v>
      </c>
      <c r="K177" s="14" t="n">
        <f aca="false">INDEX(Assumptions!$B$11:$B$15,MATCH(J177,Assumptions!$A$11:$A$15,0))</f>
        <v>0.01</v>
      </c>
      <c r="L177" s="13" t="n">
        <f aca="false">H177*K177</f>
        <v>425</v>
      </c>
      <c r="M177" s="13" t="n">
        <f aca="false">IF(I177&gt;Assumptions!$B$5,H177,0)</f>
        <v>0</v>
      </c>
      <c r="N177" s="13" t="n">
        <f aca="false">IF(I177&gt;Assumptions!$B$6,H177,0)</f>
        <v>0</v>
      </c>
    </row>
    <row r="178" customFormat="false" ht="15" hidden="false" customHeight="false" outlineLevel="0" collapsed="false">
      <c r="A178" s="22" t="s">
        <v>262</v>
      </c>
      <c r="B178" s="22" t="s">
        <v>45</v>
      </c>
      <c r="C178" s="22" t="s">
        <v>52</v>
      </c>
      <c r="D178" s="23" t="n">
        <v>45536</v>
      </c>
      <c r="E178" s="24" t="n">
        <v>587000</v>
      </c>
      <c r="F178" s="25" t="n">
        <v>0.14</v>
      </c>
      <c r="G178" s="22" t="n">
        <v>36</v>
      </c>
      <c r="H178" s="24" t="n">
        <v>423300</v>
      </c>
      <c r="I178" s="22" t="n">
        <v>0</v>
      </c>
      <c r="J178" s="12" t="str">
        <f aca="false">IF(I178&lt;=0,"Current",IF(I178&lt;=30,"01-30 days",IF(I178&lt;=90,"31-90 days",IF(I178&lt;=180,"91-180 days","180+ days"))))</f>
        <v>Current</v>
      </c>
      <c r="K178" s="14" t="n">
        <f aca="false">INDEX(Assumptions!$B$11:$B$15,MATCH(J178,Assumptions!$A$11:$A$15,0))</f>
        <v>0.01</v>
      </c>
      <c r="L178" s="13" t="n">
        <f aca="false">H178*K178</f>
        <v>4233</v>
      </c>
      <c r="M178" s="13" t="n">
        <f aca="false">IF(I178&gt;Assumptions!$B$5,H178,0)</f>
        <v>0</v>
      </c>
      <c r="N178" s="13" t="n">
        <f aca="false">IF(I178&gt;Assumptions!$B$6,H178,0)</f>
        <v>0</v>
      </c>
    </row>
    <row r="179" customFormat="false" ht="15" hidden="false" customHeight="false" outlineLevel="0" collapsed="false">
      <c r="A179" s="22" t="s">
        <v>263</v>
      </c>
      <c r="B179" s="22" t="s">
        <v>46</v>
      </c>
      <c r="C179" s="22" t="s">
        <v>55</v>
      </c>
      <c r="D179" s="23" t="n">
        <v>46040</v>
      </c>
      <c r="E179" s="24" t="n">
        <v>90000</v>
      </c>
      <c r="F179" s="25" t="n">
        <v>0.12</v>
      </c>
      <c r="G179" s="22" t="n">
        <v>12</v>
      </c>
      <c r="H179" s="24" t="n">
        <v>77400</v>
      </c>
      <c r="I179" s="22" t="n">
        <v>0</v>
      </c>
      <c r="J179" s="12" t="str">
        <f aca="false">IF(I179&lt;=0,"Current",IF(I179&lt;=30,"01-30 days",IF(I179&lt;=90,"31-90 days",IF(I179&lt;=180,"91-180 days","180+ days"))))</f>
        <v>Current</v>
      </c>
      <c r="K179" s="14" t="n">
        <f aca="false">INDEX(Assumptions!$B$11:$B$15,MATCH(J179,Assumptions!$A$11:$A$15,0))</f>
        <v>0.01</v>
      </c>
      <c r="L179" s="13" t="n">
        <f aca="false">H179*K179</f>
        <v>774</v>
      </c>
      <c r="M179" s="13" t="n">
        <f aca="false">IF(I179&gt;Assumptions!$B$5,H179,0)</f>
        <v>0</v>
      </c>
      <c r="N179" s="13" t="n">
        <f aca="false">IF(I179&gt;Assumptions!$B$6,H179,0)</f>
        <v>0</v>
      </c>
    </row>
    <row r="180" customFormat="false" ht="15" hidden="false" customHeight="false" outlineLevel="0" collapsed="false">
      <c r="A180" s="22" t="s">
        <v>264</v>
      </c>
      <c r="B180" s="22" t="s">
        <v>49</v>
      </c>
      <c r="C180" s="22" t="s">
        <v>54</v>
      </c>
      <c r="D180" s="23" t="n">
        <v>45460</v>
      </c>
      <c r="E180" s="24" t="n">
        <v>493000</v>
      </c>
      <c r="F180" s="25" t="n">
        <v>0.15</v>
      </c>
      <c r="G180" s="22" t="n">
        <v>24</v>
      </c>
      <c r="H180" s="24" t="n">
        <v>300500</v>
      </c>
      <c r="I180" s="22" t="n">
        <v>0</v>
      </c>
      <c r="J180" s="12" t="str">
        <f aca="false">IF(I180&lt;=0,"Current",IF(I180&lt;=30,"01-30 days",IF(I180&lt;=90,"31-90 days",IF(I180&lt;=180,"91-180 days","180+ days"))))</f>
        <v>Current</v>
      </c>
      <c r="K180" s="14" t="n">
        <f aca="false">INDEX(Assumptions!$B$11:$B$15,MATCH(J180,Assumptions!$A$11:$A$15,0))</f>
        <v>0.01</v>
      </c>
      <c r="L180" s="13" t="n">
        <f aca="false">H180*K180</f>
        <v>3005</v>
      </c>
      <c r="M180" s="13" t="n">
        <f aca="false">IF(I180&gt;Assumptions!$B$5,H180,0)</f>
        <v>0</v>
      </c>
      <c r="N180" s="13" t="n">
        <f aca="false">IF(I180&gt;Assumptions!$B$6,H180,0)</f>
        <v>0</v>
      </c>
    </row>
    <row r="181" customFormat="false" ht="15" hidden="false" customHeight="false" outlineLevel="0" collapsed="false">
      <c r="A181" s="22" t="s">
        <v>265</v>
      </c>
      <c r="B181" s="22" t="s">
        <v>45</v>
      </c>
      <c r="C181" s="22" t="s">
        <v>55</v>
      </c>
      <c r="D181" s="23" t="n">
        <v>45881</v>
      </c>
      <c r="E181" s="24" t="n">
        <v>175000</v>
      </c>
      <c r="F181" s="25" t="n">
        <v>0.12</v>
      </c>
      <c r="G181" s="22" t="n">
        <v>12</v>
      </c>
      <c r="H181" s="24" t="n">
        <v>51100</v>
      </c>
      <c r="I181" s="22" t="n">
        <v>212</v>
      </c>
      <c r="J181" s="12" t="str">
        <f aca="false">IF(I181&lt;=0,"Current",IF(I181&lt;=30,"01-30 days",IF(I181&lt;=90,"31-90 days",IF(I181&lt;=180,"91-180 days","180+ days"))))</f>
        <v>180+ days</v>
      </c>
      <c r="K181" s="14" t="n">
        <f aca="false">INDEX(Assumptions!$B$11:$B$15,MATCH(J181,Assumptions!$A$11:$A$15,0))</f>
        <v>1</v>
      </c>
      <c r="L181" s="13" t="n">
        <f aca="false">H181*K181</f>
        <v>51100</v>
      </c>
      <c r="M181" s="13" t="n">
        <f aca="false">IF(I181&gt;Assumptions!$B$5,H181,0)</f>
        <v>51100</v>
      </c>
      <c r="N181" s="13" t="n">
        <f aca="false">IF(I181&gt;Assumptions!$B$6,H181,0)</f>
        <v>51100</v>
      </c>
    </row>
    <row r="182" customFormat="false" ht="15" hidden="false" customHeight="false" outlineLevel="0" collapsed="false">
      <c r="A182" s="22" t="s">
        <v>266</v>
      </c>
      <c r="B182" s="22" t="s">
        <v>49</v>
      </c>
      <c r="C182" s="22" t="s">
        <v>52</v>
      </c>
      <c r="D182" s="23" t="n">
        <v>45624</v>
      </c>
      <c r="E182" s="24" t="n">
        <v>403000</v>
      </c>
      <c r="F182" s="25" t="n">
        <v>0.14</v>
      </c>
      <c r="G182" s="22" t="n">
        <v>36</v>
      </c>
      <c r="H182" s="24" t="n">
        <v>154300</v>
      </c>
      <c r="I182" s="22" t="n">
        <v>0</v>
      </c>
      <c r="J182" s="12" t="str">
        <f aca="false">IF(I182&lt;=0,"Current",IF(I182&lt;=30,"01-30 days",IF(I182&lt;=90,"31-90 days",IF(I182&lt;=180,"91-180 days","180+ days"))))</f>
        <v>Current</v>
      </c>
      <c r="K182" s="14" t="n">
        <f aca="false">INDEX(Assumptions!$B$11:$B$15,MATCH(J182,Assumptions!$A$11:$A$15,0))</f>
        <v>0.01</v>
      </c>
      <c r="L182" s="13" t="n">
        <f aca="false">H182*K182</f>
        <v>1543</v>
      </c>
      <c r="M182" s="13" t="n">
        <f aca="false">IF(I182&gt;Assumptions!$B$5,H182,0)</f>
        <v>0</v>
      </c>
      <c r="N182" s="13" t="n">
        <f aca="false">IF(I182&gt;Assumptions!$B$6,H182,0)</f>
        <v>0</v>
      </c>
    </row>
    <row r="183" customFormat="false" ht="15" hidden="false" customHeight="false" outlineLevel="0" collapsed="false">
      <c r="A183" s="22" t="s">
        <v>267</v>
      </c>
      <c r="B183" s="22" t="s">
        <v>44</v>
      </c>
      <c r="C183" s="22" t="s">
        <v>55</v>
      </c>
      <c r="D183" s="23" t="n">
        <v>45657</v>
      </c>
      <c r="E183" s="24" t="n">
        <v>145000</v>
      </c>
      <c r="F183" s="25" t="n">
        <v>0.12</v>
      </c>
      <c r="G183" s="22" t="n">
        <v>12</v>
      </c>
      <c r="H183" s="24" t="n">
        <v>117700</v>
      </c>
      <c r="I183" s="22" t="n">
        <v>0</v>
      </c>
      <c r="J183" s="12" t="str">
        <f aca="false">IF(I183&lt;=0,"Current",IF(I183&lt;=30,"01-30 days",IF(I183&lt;=90,"31-90 days",IF(I183&lt;=180,"91-180 days","180+ days"))))</f>
        <v>Current</v>
      </c>
      <c r="K183" s="14" t="n">
        <f aca="false">INDEX(Assumptions!$B$11:$B$15,MATCH(J183,Assumptions!$A$11:$A$15,0))</f>
        <v>0.01</v>
      </c>
      <c r="L183" s="13" t="n">
        <f aca="false">H183*K183</f>
        <v>1177</v>
      </c>
      <c r="M183" s="13" t="n">
        <f aca="false">IF(I183&gt;Assumptions!$B$5,H183,0)</f>
        <v>0</v>
      </c>
      <c r="N183" s="13" t="n">
        <f aca="false">IF(I183&gt;Assumptions!$B$6,H183,0)</f>
        <v>0</v>
      </c>
    </row>
    <row r="184" customFormat="false" ht="15" hidden="false" customHeight="false" outlineLevel="0" collapsed="false">
      <c r="A184" s="22" t="s">
        <v>268</v>
      </c>
      <c r="B184" s="22" t="s">
        <v>47</v>
      </c>
      <c r="C184" s="22" t="s">
        <v>53</v>
      </c>
      <c r="D184" s="23" t="n">
        <v>45613</v>
      </c>
      <c r="E184" s="24" t="n">
        <v>31000</v>
      </c>
      <c r="F184" s="25" t="n">
        <v>0.18</v>
      </c>
      <c r="G184" s="22" t="n">
        <v>6</v>
      </c>
      <c r="H184" s="24" t="n">
        <v>13300</v>
      </c>
      <c r="I184" s="22" t="n">
        <v>0</v>
      </c>
      <c r="J184" s="12" t="str">
        <f aca="false">IF(I184&lt;=0,"Current",IF(I184&lt;=30,"01-30 days",IF(I184&lt;=90,"31-90 days",IF(I184&lt;=180,"91-180 days","180+ days"))))</f>
        <v>Current</v>
      </c>
      <c r="K184" s="14" t="n">
        <f aca="false">INDEX(Assumptions!$B$11:$B$15,MATCH(J184,Assumptions!$A$11:$A$15,0))</f>
        <v>0.01</v>
      </c>
      <c r="L184" s="13" t="n">
        <f aca="false">H184*K184</f>
        <v>133</v>
      </c>
      <c r="M184" s="13" t="n">
        <f aca="false">IF(I184&gt;Assumptions!$B$5,H184,0)</f>
        <v>0</v>
      </c>
      <c r="N184" s="13" t="n">
        <f aca="false">IF(I184&gt;Assumptions!$B$6,H184,0)</f>
        <v>0</v>
      </c>
    </row>
    <row r="185" customFormat="false" ht="15" hidden="false" customHeight="false" outlineLevel="0" collapsed="false">
      <c r="A185" s="22" t="s">
        <v>269</v>
      </c>
      <c r="B185" s="22" t="s">
        <v>45</v>
      </c>
      <c r="C185" s="22" t="s">
        <v>55</v>
      </c>
      <c r="D185" s="23" t="n">
        <v>45775</v>
      </c>
      <c r="E185" s="24" t="n">
        <v>66000</v>
      </c>
      <c r="F185" s="25" t="n">
        <v>0.12</v>
      </c>
      <c r="G185" s="22" t="n">
        <v>12</v>
      </c>
      <c r="H185" s="24" t="n">
        <v>59400</v>
      </c>
      <c r="I185" s="22" t="n">
        <v>0</v>
      </c>
      <c r="J185" s="12" t="str">
        <f aca="false">IF(I185&lt;=0,"Current",IF(I185&lt;=30,"01-30 days",IF(I185&lt;=90,"31-90 days",IF(I185&lt;=180,"91-180 days","180+ days"))))</f>
        <v>Current</v>
      </c>
      <c r="K185" s="14" t="n">
        <f aca="false">INDEX(Assumptions!$B$11:$B$15,MATCH(J185,Assumptions!$A$11:$A$15,0))</f>
        <v>0.01</v>
      </c>
      <c r="L185" s="13" t="n">
        <f aca="false">H185*K185</f>
        <v>594</v>
      </c>
      <c r="M185" s="13" t="n">
        <f aca="false">IF(I185&gt;Assumptions!$B$5,H185,0)</f>
        <v>0</v>
      </c>
      <c r="N185" s="13" t="n">
        <f aca="false">IF(I185&gt;Assumptions!$B$6,H185,0)</f>
        <v>0</v>
      </c>
    </row>
    <row r="186" customFormat="false" ht="15" hidden="false" customHeight="false" outlineLevel="0" collapsed="false">
      <c r="A186" s="22" t="s">
        <v>270</v>
      </c>
      <c r="B186" s="22" t="s">
        <v>48</v>
      </c>
      <c r="C186" s="22" t="s">
        <v>53</v>
      </c>
      <c r="D186" s="23" t="n">
        <v>45352</v>
      </c>
      <c r="E186" s="24" t="n">
        <v>95000</v>
      </c>
      <c r="F186" s="25" t="n">
        <v>0.18</v>
      </c>
      <c r="G186" s="22" t="n">
        <v>6</v>
      </c>
      <c r="H186" s="24" t="n">
        <v>80200</v>
      </c>
      <c r="I186" s="22" t="n">
        <v>0</v>
      </c>
      <c r="J186" s="12" t="str">
        <f aca="false">IF(I186&lt;=0,"Current",IF(I186&lt;=30,"01-30 days",IF(I186&lt;=90,"31-90 days",IF(I186&lt;=180,"91-180 days","180+ days"))))</f>
        <v>Current</v>
      </c>
      <c r="K186" s="14" t="n">
        <f aca="false">INDEX(Assumptions!$B$11:$B$15,MATCH(J186,Assumptions!$A$11:$A$15,0))</f>
        <v>0.01</v>
      </c>
      <c r="L186" s="13" t="n">
        <f aca="false">H186*K186</f>
        <v>802</v>
      </c>
      <c r="M186" s="13" t="n">
        <f aca="false">IF(I186&gt;Assumptions!$B$5,H186,0)</f>
        <v>0</v>
      </c>
      <c r="N186" s="13" t="n">
        <f aca="false">IF(I186&gt;Assumptions!$B$6,H186,0)</f>
        <v>0</v>
      </c>
    </row>
    <row r="187" customFormat="false" ht="15" hidden="false" customHeight="false" outlineLevel="0" collapsed="false">
      <c r="A187" s="22" t="s">
        <v>271</v>
      </c>
      <c r="B187" s="22" t="s">
        <v>44</v>
      </c>
      <c r="C187" s="22" t="s">
        <v>54</v>
      </c>
      <c r="D187" s="23" t="n">
        <v>46006</v>
      </c>
      <c r="E187" s="24" t="n">
        <v>291000</v>
      </c>
      <c r="F187" s="25" t="n">
        <v>0.15</v>
      </c>
      <c r="G187" s="22" t="n">
        <v>24</v>
      </c>
      <c r="H187" s="24" t="n">
        <v>61700</v>
      </c>
      <c r="I187" s="22" t="n">
        <v>0</v>
      </c>
      <c r="J187" s="12" t="str">
        <f aca="false">IF(I187&lt;=0,"Current",IF(I187&lt;=30,"01-30 days",IF(I187&lt;=90,"31-90 days",IF(I187&lt;=180,"91-180 days","180+ days"))))</f>
        <v>Current</v>
      </c>
      <c r="K187" s="14" t="n">
        <f aca="false">INDEX(Assumptions!$B$11:$B$15,MATCH(J187,Assumptions!$A$11:$A$15,0))</f>
        <v>0.01</v>
      </c>
      <c r="L187" s="13" t="n">
        <f aca="false">H187*K187</f>
        <v>617</v>
      </c>
      <c r="M187" s="13" t="n">
        <f aca="false">IF(I187&gt;Assumptions!$B$5,H187,0)</f>
        <v>0</v>
      </c>
      <c r="N187" s="13" t="n">
        <f aca="false">IF(I187&gt;Assumptions!$B$6,H187,0)</f>
        <v>0</v>
      </c>
    </row>
    <row r="188" customFormat="false" ht="15" hidden="false" customHeight="false" outlineLevel="0" collapsed="false">
      <c r="A188" s="22" t="s">
        <v>272</v>
      </c>
      <c r="B188" s="22" t="s">
        <v>49</v>
      </c>
      <c r="C188" s="22" t="s">
        <v>53</v>
      </c>
      <c r="D188" s="23" t="n">
        <v>45343</v>
      </c>
      <c r="E188" s="24" t="n">
        <v>80000</v>
      </c>
      <c r="F188" s="25" t="n">
        <v>0.18</v>
      </c>
      <c r="G188" s="22" t="n">
        <v>6</v>
      </c>
      <c r="H188" s="24" t="n">
        <v>27500</v>
      </c>
      <c r="I188" s="22" t="n">
        <v>0</v>
      </c>
      <c r="J188" s="12" t="str">
        <f aca="false">IF(I188&lt;=0,"Current",IF(I188&lt;=30,"01-30 days",IF(I188&lt;=90,"31-90 days",IF(I188&lt;=180,"91-180 days","180+ days"))))</f>
        <v>Current</v>
      </c>
      <c r="K188" s="14" t="n">
        <f aca="false">INDEX(Assumptions!$B$11:$B$15,MATCH(J188,Assumptions!$A$11:$A$15,0))</f>
        <v>0.01</v>
      </c>
      <c r="L188" s="13" t="n">
        <f aca="false">H188*K188</f>
        <v>275</v>
      </c>
      <c r="M188" s="13" t="n">
        <f aca="false">IF(I188&gt;Assumptions!$B$5,H188,0)</f>
        <v>0</v>
      </c>
      <c r="N188" s="13" t="n">
        <f aca="false">IF(I188&gt;Assumptions!$B$6,H188,0)</f>
        <v>0</v>
      </c>
    </row>
    <row r="189" customFormat="false" ht="15" hidden="false" customHeight="false" outlineLevel="0" collapsed="false">
      <c r="A189" s="22" t="s">
        <v>273</v>
      </c>
      <c r="B189" s="22" t="s">
        <v>47</v>
      </c>
      <c r="C189" s="22" t="s">
        <v>54</v>
      </c>
      <c r="D189" s="23" t="n">
        <v>45572</v>
      </c>
      <c r="E189" s="24" t="n">
        <v>421000</v>
      </c>
      <c r="F189" s="25" t="n">
        <v>0.15</v>
      </c>
      <c r="G189" s="22" t="n">
        <v>24</v>
      </c>
      <c r="H189" s="24" t="n">
        <v>342400</v>
      </c>
      <c r="I189" s="22" t="n">
        <v>0</v>
      </c>
      <c r="J189" s="12" t="str">
        <f aca="false">IF(I189&lt;=0,"Current",IF(I189&lt;=30,"01-30 days",IF(I189&lt;=90,"31-90 days",IF(I189&lt;=180,"91-180 days","180+ days"))))</f>
        <v>Current</v>
      </c>
      <c r="K189" s="14" t="n">
        <f aca="false">INDEX(Assumptions!$B$11:$B$15,MATCH(J189,Assumptions!$A$11:$A$15,0))</f>
        <v>0.01</v>
      </c>
      <c r="L189" s="13" t="n">
        <f aca="false">H189*K189</f>
        <v>3424</v>
      </c>
      <c r="M189" s="13" t="n">
        <f aca="false">IF(I189&gt;Assumptions!$B$5,H189,0)</f>
        <v>0</v>
      </c>
      <c r="N189" s="13" t="n">
        <f aca="false">IF(I189&gt;Assumptions!$B$6,H189,0)</f>
        <v>0</v>
      </c>
    </row>
    <row r="190" customFormat="false" ht="15" hidden="false" customHeight="false" outlineLevel="0" collapsed="false">
      <c r="A190" s="22" t="s">
        <v>274</v>
      </c>
      <c r="B190" s="22" t="s">
        <v>48</v>
      </c>
      <c r="C190" s="22" t="s">
        <v>53</v>
      </c>
      <c r="D190" s="23" t="n">
        <v>45747</v>
      </c>
      <c r="E190" s="24" t="n">
        <v>105000</v>
      </c>
      <c r="F190" s="25" t="n">
        <v>0.18</v>
      </c>
      <c r="G190" s="22" t="n">
        <v>6</v>
      </c>
      <c r="H190" s="24" t="n">
        <v>75800</v>
      </c>
      <c r="I190" s="22" t="n">
        <v>0</v>
      </c>
      <c r="J190" s="12" t="str">
        <f aca="false">IF(I190&lt;=0,"Current",IF(I190&lt;=30,"01-30 days",IF(I190&lt;=90,"31-90 days",IF(I190&lt;=180,"91-180 days","180+ days"))))</f>
        <v>Current</v>
      </c>
      <c r="K190" s="14" t="n">
        <f aca="false">INDEX(Assumptions!$B$11:$B$15,MATCH(J190,Assumptions!$A$11:$A$15,0))</f>
        <v>0.01</v>
      </c>
      <c r="L190" s="13" t="n">
        <f aca="false">H190*K190</f>
        <v>758</v>
      </c>
      <c r="M190" s="13" t="n">
        <f aca="false">IF(I190&gt;Assumptions!$B$5,H190,0)</f>
        <v>0</v>
      </c>
      <c r="N190" s="13" t="n">
        <f aca="false">IF(I190&gt;Assumptions!$B$6,H190,0)</f>
        <v>0</v>
      </c>
    </row>
    <row r="191" customFormat="false" ht="15" hidden="false" customHeight="false" outlineLevel="0" collapsed="false">
      <c r="A191" s="22" t="s">
        <v>275</v>
      </c>
      <c r="B191" s="22" t="s">
        <v>46</v>
      </c>
      <c r="C191" s="22" t="s">
        <v>53</v>
      </c>
      <c r="D191" s="23" t="n">
        <v>45805</v>
      </c>
      <c r="E191" s="24" t="n">
        <v>77000</v>
      </c>
      <c r="F191" s="25" t="n">
        <v>0.18</v>
      </c>
      <c r="G191" s="22" t="n">
        <v>6</v>
      </c>
      <c r="H191" s="24" t="n">
        <v>65200</v>
      </c>
      <c r="I191" s="22" t="n">
        <v>125</v>
      </c>
      <c r="J191" s="12" t="str">
        <f aca="false">IF(I191&lt;=0,"Current",IF(I191&lt;=30,"01-30 days",IF(I191&lt;=90,"31-90 days",IF(I191&lt;=180,"91-180 days","180+ days"))))</f>
        <v>91-180 days</v>
      </c>
      <c r="K191" s="14" t="n">
        <f aca="false">INDEX(Assumptions!$B$11:$B$15,MATCH(J191,Assumptions!$A$11:$A$15,0))</f>
        <v>0.5</v>
      </c>
      <c r="L191" s="13" t="n">
        <f aca="false">H191*K191</f>
        <v>32600</v>
      </c>
      <c r="M191" s="13" t="n">
        <f aca="false">IF(I191&gt;Assumptions!$B$5,H191,0)</f>
        <v>65200</v>
      </c>
      <c r="N191" s="13" t="n">
        <f aca="false">IF(I191&gt;Assumptions!$B$6,H191,0)</f>
        <v>65200</v>
      </c>
    </row>
    <row r="192" customFormat="false" ht="15" hidden="false" customHeight="false" outlineLevel="0" collapsed="false">
      <c r="A192" s="22" t="s">
        <v>276</v>
      </c>
      <c r="B192" s="22" t="s">
        <v>47</v>
      </c>
      <c r="C192" s="22" t="s">
        <v>54</v>
      </c>
      <c r="D192" s="23" t="n">
        <v>45410</v>
      </c>
      <c r="E192" s="24" t="n">
        <v>240000</v>
      </c>
      <c r="F192" s="25" t="n">
        <v>0.15</v>
      </c>
      <c r="G192" s="22" t="n">
        <v>24</v>
      </c>
      <c r="H192" s="24" t="n">
        <v>192700</v>
      </c>
      <c r="I192" s="22" t="n">
        <v>0</v>
      </c>
      <c r="J192" s="12" t="str">
        <f aca="false">IF(I192&lt;=0,"Current",IF(I192&lt;=30,"01-30 days",IF(I192&lt;=90,"31-90 days",IF(I192&lt;=180,"91-180 days","180+ days"))))</f>
        <v>Current</v>
      </c>
      <c r="K192" s="14" t="n">
        <f aca="false">INDEX(Assumptions!$B$11:$B$15,MATCH(J192,Assumptions!$A$11:$A$15,0))</f>
        <v>0.01</v>
      </c>
      <c r="L192" s="13" t="n">
        <f aca="false">H192*K192</f>
        <v>1927</v>
      </c>
      <c r="M192" s="13" t="n">
        <f aca="false">IF(I192&gt;Assumptions!$B$5,H192,0)</f>
        <v>0</v>
      </c>
      <c r="N192" s="13" t="n">
        <f aca="false">IF(I192&gt;Assumptions!$B$6,H192,0)</f>
        <v>0</v>
      </c>
    </row>
    <row r="193" customFormat="false" ht="15" hidden="false" customHeight="false" outlineLevel="0" collapsed="false">
      <c r="A193" s="22" t="s">
        <v>277</v>
      </c>
      <c r="B193" s="22" t="s">
        <v>47</v>
      </c>
      <c r="C193" s="22" t="s">
        <v>53</v>
      </c>
      <c r="D193" s="23" t="n">
        <v>45765</v>
      </c>
      <c r="E193" s="24" t="n">
        <v>97000</v>
      </c>
      <c r="F193" s="25" t="n">
        <v>0.18</v>
      </c>
      <c r="G193" s="22" t="n">
        <v>6</v>
      </c>
      <c r="H193" s="24" t="n">
        <v>84500</v>
      </c>
      <c r="I193" s="22" t="n">
        <v>48</v>
      </c>
      <c r="J193" s="12" t="str">
        <f aca="false">IF(I193&lt;=0,"Current",IF(I193&lt;=30,"01-30 days",IF(I193&lt;=90,"31-90 days",IF(I193&lt;=180,"91-180 days","180+ days"))))</f>
        <v>31-90 days</v>
      </c>
      <c r="K193" s="14" t="n">
        <f aca="false">INDEX(Assumptions!$B$11:$B$15,MATCH(J193,Assumptions!$A$11:$A$15,0))</f>
        <v>0.25</v>
      </c>
      <c r="L193" s="13" t="n">
        <f aca="false">H193*K193</f>
        <v>21125</v>
      </c>
      <c r="M193" s="13" t="n">
        <f aca="false">IF(I193&gt;Assumptions!$B$5,H193,0)</f>
        <v>84500</v>
      </c>
      <c r="N193" s="13" t="n">
        <f aca="false">IF(I193&gt;Assumptions!$B$6,H193,0)</f>
        <v>0</v>
      </c>
    </row>
    <row r="194" customFormat="false" ht="15" hidden="false" customHeight="false" outlineLevel="0" collapsed="false">
      <c r="A194" s="22" t="s">
        <v>278</v>
      </c>
      <c r="B194" s="22" t="s">
        <v>49</v>
      </c>
      <c r="C194" s="22" t="s">
        <v>55</v>
      </c>
      <c r="D194" s="23" t="n">
        <v>45299</v>
      </c>
      <c r="E194" s="24" t="n">
        <v>165000</v>
      </c>
      <c r="F194" s="25" t="n">
        <v>0.12</v>
      </c>
      <c r="G194" s="22" t="n">
        <v>12</v>
      </c>
      <c r="H194" s="24" t="n">
        <v>42100</v>
      </c>
      <c r="I194" s="22" t="n">
        <v>0</v>
      </c>
      <c r="J194" s="12" t="str">
        <f aca="false">IF(I194&lt;=0,"Current",IF(I194&lt;=30,"01-30 days",IF(I194&lt;=90,"31-90 days",IF(I194&lt;=180,"91-180 days","180+ days"))))</f>
        <v>Current</v>
      </c>
      <c r="K194" s="14" t="n">
        <f aca="false">INDEX(Assumptions!$B$11:$B$15,MATCH(J194,Assumptions!$A$11:$A$15,0))</f>
        <v>0.01</v>
      </c>
      <c r="L194" s="13" t="n">
        <f aca="false">H194*K194</f>
        <v>421</v>
      </c>
      <c r="M194" s="13" t="n">
        <f aca="false">IF(I194&gt;Assumptions!$B$5,H194,0)</f>
        <v>0</v>
      </c>
      <c r="N194" s="13" t="n">
        <f aca="false">IF(I194&gt;Assumptions!$B$6,H194,0)</f>
        <v>0</v>
      </c>
    </row>
    <row r="195" customFormat="false" ht="15" hidden="false" customHeight="false" outlineLevel="0" collapsed="false">
      <c r="A195" s="22" t="s">
        <v>279</v>
      </c>
      <c r="B195" s="22" t="s">
        <v>47</v>
      </c>
      <c r="C195" s="22" t="s">
        <v>54</v>
      </c>
      <c r="D195" s="23" t="n">
        <v>45381</v>
      </c>
      <c r="E195" s="24" t="n">
        <v>325000</v>
      </c>
      <c r="F195" s="25" t="n">
        <v>0.15</v>
      </c>
      <c r="G195" s="22" t="n">
        <v>24</v>
      </c>
      <c r="H195" s="24" t="n">
        <v>126200</v>
      </c>
      <c r="I195" s="22" t="n">
        <v>0</v>
      </c>
      <c r="J195" s="12" t="str">
        <f aca="false">IF(I195&lt;=0,"Current",IF(I195&lt;=30,"01-30 days",IF(I195&lt;=90,"31-90 days",IF(I195&lt;=180,"91-180 days","180+ days"))))</f>
        <v>Current</v>
      </c>
      <c r="K195" s="14" t="n">
        <f aca="false">INDEX(Assumptions!$B$11:$B$15,MATCH(J195,Assumptions!$A$11:$A$15,0))</f>
        <v>0.01</v>
      </c>
      <c r="L195" s="13" t="n">
        <f aca="false">H195*K195</f>
        <v>1262</v>
      </c>
      <c r="M195" s="13" t="n">
        <f aca="false">IF(I195&gt;Assumptions!$B$5,H195,0)</f>
        <v>0</v>
      </c>
      <c r="N195" s="13" t="n">
        <f aca="false">IF(I195&gt;Assumptions!$B$6,H195,0)</f>
        <v>0</v>
      </c>
    </row>
    <row r="196" customFormat="false" ht="15" hidden="false" customHeight="false" outlineLevel="0" collapsed="false">
      <c r="A196" s="22" t="s">
        <v>280</v>
      </c>
      <c r="B196" s="22" t="s">
        <v>44</v>
      </c>
      <c r="C196" s="22" t="s">
        <v>53</v>
      </c>
      <c r="D196" s="23" t="n">
        <v>45321</v>
      </c>
      <c r="E196" s="24" t="n">
        <v>82000</v>
      </c>
      <c r="F196" s="25" t="n">
        <v>0.18</v>
      </c>
      <c r="G196" s="22" t="n">
        <v>6</v>
      </c>
      <c r="H196" s="24" t="n">
        <v>27400</v>
      </c>
      <c r="I196" s="22" t="n">
        <v>0</v>
      </c>
      <c r="J196" s="12" t="str">
        <f aca="false">IF(I196&lt;=0,"Current",IF(I196&lt;=30,"01-30 days",IF(I196&lt;=90,"31-90 days",IF(I196&lt;=180,"91-180 days","180+ days"))))</f>
        <v>Current</v>
      </c>
      <c r="K196" s="14" t="n">
        <f aca="false">INDEX(Assumptions!$B$11:$B$15,MATCH(J196,Assumptions!$A$11:$A$15,0))</f>
        <v>0.01</v>
      </c>
      <c r="L196" s="13" t="n">
        <f aca="false">H196*K196</f>
        <v>274</v>
      </c>
      <c r="M196" s="13" t="n">
        <f aca="false">IF(I196&gt;Assumptions!$B$5,H196,0)</f>
        <v>0</v>
      </c>
      <c r="N196" s="13" t="n">
        <f aca="false">IF(I196&gt;Assumptions!$B$6,H196,0)</f>
        <v>0</v>
      </c>
    </row>
    <row r="197" customFormat="false" ht="15" hidden="false" customHeight="false" outlineLevel="0" collapsed="false">
      <c r="A197" s="22" t="s">
        <v>281</v>
      </c>
      <c r="B197" s="22" t="s">
        <v>44</v>
      </c>
      <c r="C197" s="22" t="s">
        <v>53</v>
      </c>
      <c r="D197" s="23" t="n">
        <v>45890</v>
      </c>
      <c r="E197" s="24" t="n">
        <v>28000</v>
      </c>
      <c r="F197" s="25" t="n">
        <v>0.18</v>
      </c>
      <c r="G197" s="22" t="n">
        <v>6</v>
      </c>
      <c r="H197" s="24" t="n">
        <v>18700</v>
      </c>
      <c r="I197" s="22" t="n">
        <v>0</v>
      </c>
      <c r="J197" s="12" t="str">
        <f aca="false">IF(I197&lt;=0,"Current",IF(I197&lt;=30,"01-30 days",IF(I197&lt;=90,"31-90 days",IF(I197&lt;=180,"91-180 days","180+ days"))))</f>
        <v>Current</v>
      </c>
      <c r="K197" s="14" t="n">
        <f aca="false">INDEX(Assumptions!$B$11:$B$15,MATCH(J197,Assumptions!$A$11:$A$15,0))</f>
        <v>0.01</v>
      </c>
      <c r="L197" s="13" t="n">
        <f aca="false">H197*K197</f>
        <v>187</v>
      </c>
      <c r="M197" s="13" t="n">
        <f aca="false">IF(I197&gt;Assumptions!$B$5,H197,0)</f>
        <v>0</v>
      </c>
      <c r="N197" s="13" t="n">
        <f aca="false">IF(I197&gt;Assumptions!$B$6,H197,0)</f>
        <v>0</v>
      </c>
    </row>
    <row r="198" customFormat="false" ht="15" hidden="false" customHeight="false" outlineLevel="0" collapsed="false">
      <c r="A198" s="22" t="s">
        <v>282</v>
      </c>
      <c r="B198" s="22" t="s">
        <v>45</v>
      </c>
      <c r="C198" s="22" t="s">
        <v>55</v>
      </c>
      <c r="D198" s="23" t="n">
        <v>45952</v>
      </c>
      <c r="E198" s="24" t="n">
        <v>45000</v>
      </c>
      <c r="F198" s="25" t="n">
        <v>0.12</v>
      </c>
      <c r="G198" s="22" t="n">
        <v>12</v>
      </c>
      <c r="H198" s="24" t="n">
        <v>15100</v>
      </c>
      <c r="I198" s="22" t="n">
        <v>0</v>
      </c>
      <c r="J198" s="12" t="str">
        <f aca="false">IF(I198&lt;=0,"Current",IF(I198&lt;=30,"01-30 days",IF(I198&lt;=90,"31-90 days",IF(I198&lt;=180,"91-180 days","180+ days"))))</f>
        <v>Current</v>
      </c>
      <c r="K198" s="14" t="n">
        <f aca="false">INDEX(Assumptions!$B$11:$B$15,MATCH(J198,Assumptions!$A$11:$A$15,0))</f>
        <v>0.01</v>
      </c>
      <c r="L198" s="13" t="n">
        <f aca="false">H198*K198</f>
        <v>151</v>
      </c>
      <c r="M198" s="13" t="n">
        <f aca="false">IF(I198&gt;Assumptions!$B$5,H198,0)</f>
        <v>0</v>
      </c>
      <c r="N198" s="13" t="n">
        <f aca="false">IF(I198&gt;Assumptions!$B$6,H198,0)</f>
        <v>0</v>
      </c>
    </row>
    <row r="199" customFormat="false" ht="15" hidden="false" customHeight="false" outlineLevel="0" collapsed="false">
      <c r="A199" s="22" t="s">
        <v>283</v>
      </c>
      <c r="B199" s="22" t="s">
        <v>49</v>
      </c>
      <c r="C199" s="22" t="s">
        <v>54</v>
      </c>
      <c r="D199" s="23" t="n">
        <v>46054</v>
      </c>
      <c r="E199" s="24" t="n">
        <v>387000</v>
      </c>
      <c r="F199" s="25" t="n">
        <v>0.15</v>
      </c>
      <c r="G199" s="22" t="n">
        <v>24</v>
      </c>
      <c r="H199" s="24" t="n">
        <v>217700</v>
      </c>
      <c r="I199" s="22" t="n">
        <v>356</v>
      </c>
      <c r="J199" s="12" t="str">
        <f aca="false">IF(I199&lt;=0,"Current",IF(I199&lt;=30,"01-30 days",IF(I199&lt;=90,"31-90 days",IF(I199&lt;=180,"91-180 days","180+ days"))))</f>
        <v>180+ days</v>
      </c>
      <c r="K199" s="14" t="n">
        <f aca="false">INDEX(Assumptions!$B$11:$B$15,MATCH(J199,Assumptions!$A$11:$A$15,0))</f>
        <v>1</v>
      </c>
      <c r="L199" s="13" t="n">
        <f aca="false">H199*K199</f>
        <v>217700</v>
      </c>
      <c r="M199" s="13" t="n">
        <f aca="false">IF(I199&gt;Assumptions!$B$5,H199,0)</f>
        <v>217700</v>
      </c>
      <c r="N199" s="13" t="n">
        <f aca="false">IF(I199&gt;Assumptions!$B$6,H199,0)</f>
        <v>217700</v>
      </c>
    </row>
    <row r="200" customFormat="false" ht="15" hidden="false" customHeight="false" outlineLevel="0" collapsed="false">
      <c r="A200" s="22" t="s">
        <v>284</v>
      </c>
      <c r="B200" s="22" t="s">
        <v>49</v>
      </c>
      <c r="C200" s="22" t="s">
        <v>53</v>
      </c>
      <c r="D200" s="23" t="n">
        <v>45976</v>
      </c>
      <c r="E200" s="24" t="n">
        <v>62000</v>
      </c>
      <c r="F200" s="25" t="n">
        <v>0.18</v>
      </c>
      <c r="G200" s="22" t="n">
        <v>6</v>
      </c>
      <c r="H200" s="24" t="n">
        <v>17600</v>
      </c>
      <c r="I200" s="22" t="n">
        <v>0</v>
      </c>
      <c r="J200" s="12" t="str">
        <f aca="false">IF(I200&lt;=0,"Current",IF(I200&lt;=30,"01-30 days",IF(I200&lt;=90,"31-90 days",IF(I200&lt;=180,"91-180 days","180+ days"))))</f>
        <v>Current</v>
      </c>
      <c r="K200" s="14" t="n">
        <f aca="false">INDEX(Assumptions!$B$11:$B$15,MATCH(J200,Assumptions!$A$11:$A$15,0))</f>
        <v>0.01</v>
      </c>
      <c r="L200" s="13" t="n">
        <f aca="false">H200*K200</f>
        <v>176</v>
      </c>
      <c r="M200" s="13" t="n">
        <f aca="false">IF(I200&gt;Assumptions!$B$5,H200,0)</f>
        <v>0</v>
      </c>
      <c r="N200" s="13" t="n">
        <f aca="false">IF(I200&gt;Assumptions!$B$6,H200,0)</f>
        <v>0</v>
      </c>
    </row>
    <row r="201" customFormat="false" ht="15" hidden="false" customHeight="false" outlineLevel="0" collapsed="false">
      <c r="A201" s="22" t="s">
        <v>285</v>
      </c>
      <c r="B201" s="22" t="s">
        <v>46</v>
      </c>
      <c r="C201" s="22" t="s">
        <v>54</v>
      </c>
      <c r="D201" s="23" t="n">
        <v>45557</v>
      </c>
      <c r="E201" s="24" t="n">
        <v>452000</v>
      </c>
      <c r="F201" s="25" t="n">
        <v>0.15</v>
      </c>
      <c r="G201" s="22" t="n">
        <v>24</v>
      </c>
      <c r="H201" s="24" t="n">
        <v>333200</v>
      </c>
      <c r="I201" s="22" t="n">
        <v>0</v>
      </c>
      <c r="J201" s="12" t="str">
        <f aca="false">IF(I201&lt;=0,"Current",IF(I201&lt;=30,"01-30 days",IF(I201&lt;=90,"31-90 days",IF(I201&lt;=180,"91-180 days","180+ days"))))</f>
        <v>Current</v>
      </c>
      <c r="K201" s="14" t="n">
        <f aca="false">INDEX(Assumptions!$B$11:$B$15,MATCH(J201,Assumptions!$A$11:$A$15,0))</f>
        <v>0.01</v>
      </c>
      <c r="L201" s="13" t="n">
        <f aca="false">H201*K201</f>
        <v>3332</v>
      </c>
      <c r="M201" s="13" t="n">
        <f aca="false">IF(I201&gt;Assumptions!$B$5,H201,0)</f>
        <v>0</v>
      </c>
      <c r="N201" s="13" t="n">
        <f aca="false">IF(I201&gt;Assumptions!$B$6,H201,0)</f>
        <v>0</v>
      </c>
    </row>
    <row r="202" customFormat="false" ht="15" hidden="false" customHeight="false" outlineLevel="0" collapsed="false">
      <c r="A202" s="22" t="s">
        <v>286</v>
      </c>
      <c r="B202" s="22" t="s">
        <v>46</v>
      </c>
      <c r="C202" s="22" t="s">
        <v>53</v>
      </c>
      <c r="D202" s="23" t="n">
        <v>45476</v>
      </c>
      <c r="E202" s="24" t="n">
        <v>147000</v>
      </c>
      <c r="F202" s="25" t="n">
        <v>0.18</v>
      </c>
      <c r="G202" s="22" t="n">
        <v>6</v>
      </c>
      <c r="H202" s="24" t="n">
        <v>58200</v>
      </c>
      <c r="I202" s="22" t="n">
        <v>164</v>
      </c>
      <c r="J202" s="12" t="str">
        <f aca="false">IF(I202&lt;=0,"Current",IF(I202&lt;=30,"01-30 days",IF(I202&lt;=90,"31-90 days",IF(I202&lt;=180,"91-180 days","180+ days"))))</f>
        <v>91-180 days</v>
      </c>
      <c r="K202" s="14" t="n">
        <f aca="false">INDEX(Assumptions!$B$11:$B$15,MATCH(J202,Assumptions!$A$11:$A$15,0))</f>
        <v>0.5</v>
      </c>
      <c r="L202" s="13" t="n">
        <f aca="false">H202*K202</f>
        <v>29100</v>
      </c>
      <c r="M202" s="13" t="n">
        <f aca="false">IF(I202&gt;Assumptions!$B$5,H202,0)</f>
        <v>58200</v>
      </c>
      <c r="N202" s="13" t="n">
        <f aca="false">IF(I202&gt;Assumptions!$B$6,H202,0)</f>
        <v>58200</v>
      </c>
    </row>
    <row r="203" customFormat="false" ht="15" hidden="false" customHeight="false" outlineLevel="0" collapsed="false">
      <c r="A203" s="22" t="s">
        <v>287</v>
      </c>
      <c r="B203" s="22" t="s">
        <v>45</v>
      </c>
      <c r="C203" s="22" t="s">
        <v>56</v>
      </c>
      <c r="D203" s="23" t="n">
        <v>45807</v>
      </c>
      <c r="E203" s="24" t="n">
        <v>236000</v>
      </c>
      <c r="F203" s="25" t="n">
        <v>0.16</v>
      </c>
      <c r="G203" s="22" t="n">
        <v>48</v>
      </c>
      <c r="H203" s="24" t="n">
        <v>154900</v>
      </c>
      <c r="I203" s="22" t="n">
        <v>0</v>
      </c>
      <c r="J203" s="12" t="str">
        <f aca="false">IF(I203&lt;=0,"Current",IF(I203&lt;=30,"01-30 days",IF(I203&lt;=90,"31-90 days",IF(I203&lt;=180,"91-180 days","180+ days"))))</f>
        <v>Current</v>
      </c>
      <c r="K203" s="14" t="n">
        <f aca="false">INDEX(Assumptions!$B$11:$B$15,MATCH(J203,Assumptions!$A$11:$A$15,0))</f>
        <v>0.01</v>
      </c>
      <c r="L203" s="13" t="n">
        <f aca="false">H203*K203</f>
        <v>1549</v>
      </c>
      <c r="M203" s="13" t="n">
        <f aca="false">IF(I203&gt;Assumptions!$B$5,H203,0)</f>
        <v>0</v>
      </c>
      <c r="N203" s="13" t="n">
        <f aca="false">IF(I203&gt;Assumptions!$B$6,H203,0)</f>
        <v>0</v>
      </c>
    </row>
    <row r="204" customFormat="false" ht="15" hidden="false" customHeight="false" outlineLevel="0" collapsed="false">
      <c r="A204" s="22" t="s">
        <v>288</v>
      </c>
      <c r="B204" s="22" t="s">
        <v>46</v>
      </c>
      <c r="C204" s="22" t="s">
        <v>54</v>
      </c>
      <c r="D204" s="23" t="n">
        <v>46102</v>
      </c>
      <c r="E204" s="24" t="n">
        <v>488000</v>
      </c>
      <c r="F204" s="25" t="n">
        <v>0.15</v>
      </c>
      <c r="G204" s="22" t="n">
        <v>24</v>
      </c>
      <c r="H204" s="24" t="n">
        <v>389900</v>
      </c>
      <c r="I204" s="22" t="n">
        <v>42</v>
      </c>
      <c r="J204" s="12" t="str">
        <f aca="false">IF(I204&lt;=0,"Current",IF(I204&lt;=30,"01-30 days",IF(I204&lt;=90,"31-90 days",IF(I204&lt;=180,"91-180 days","180+ days"))))</f>
        <v>31-90 days</v>
      </c>
      <c r="K204" s="14" t="n">
        <f aca="false">INDEX(Assumptions!$B$11:$B$15,MATCH(J204,Assumptions!$A$11:$A$15,0))</f>
        <v>0.25</v>
      </c>
      <c r="L204" s="13" t="n">
        <f aca="false">H204*K204</f>
        <v>97475</v>
      </c>
      <c r="M204" s="13" t="n">
        <f aca="false">IF(I204&gt;Assumptions!$B$5,H204,0)</f>
        <v>389900</v>
      </c>
      <c r="N204" s="13" t="n">
        <f aca="false">IF(I204&gt;Assumptions!$B$6,H204,0)</f>
        <v>0</v>
      </c>
    </row>
    <row r="205" customFormat="false" ht="15" hidden="false" customHeight="false" outlineLevel="0" collapsed="false">
      <c r="A205" s="22" t="s">
        <v>289</v>
      </c>
      <c r="B205" s="22" t="s">
        <v>48</v>
      </c>
      <c r="C205" s="22" t="s">
        <v>56</v>
      </c>
      <c r="D205" s="23" t="n">
        <v>46004</v>
      </c>
      <c r="E205" s="24" t="n">
        <v>499000</v>
      </c>
      <c r="F205" s="25" t="n">
        <v>0.16</v>
      </c>
      <c r="G205" s="22" t="n">
        <v>48</v>
      </c>
      <c r="H205" s="24" t="n">
        <v>120000</v>
      </c>
      <c r="I205" s="22" t="n">
        <v>0</v>
      </c>
      <c r="J205" s="12" t="str">
        <f aca="false">IF(I205&lt;=0,"Current",IF(I205&lt;=30,"01-30 days",IF(I205&lt;=90,"31-90 days",IF(I205&lt;=180,"91-180 days","180+ days"))))</f>
        <v>Current</v>
      </c>
      <c r="K205" s="14" t="n">
        <f aca="false">INDEX(Assumptions!$B$11:$B$15,MATCH(J205,Assumptions!$A$11:$A$15,0))</f>
        <v>0.01</v>
      </c>
      <c r="L205" s="13" t="n">
        <f aca="false">H205*K205</f>
        <v>1200</v>
      </c>
      <c r="M205" s="13" t="n">
        <f aca="false">IF(I205&gt;Assumptions!$B$5,H205,0)</f>
        <v>0</v>
      </c>
      <c r="N205" s="13" t="n">
        <f aca="false">IF(I205&gt;Assumptions!$B$6,H205,0)</f>
        <v>0</v>
      </c>
    </row>
    <row r="206" customFormat="false" ht="15" hidden="false" customHeight="false" outlineLevel="0" collapsed="false">
      <c r="A206" s="22" t="s">
        <v>290</v>
      </c>
      <c r="B206" s="22" t="s">
        <v>45</v>
      </c>
      <c r="C206" s="22" t="s">
        <v>56</v>
      </c>
      <c r="D206" s="23" t="n">
        <v>45802</v>
      </c>
      <c r="E206" s="24" t="n">
        <v>1276000</v>
      </c>
      <c r="F206" s="25" t="n">
        <v>0.16</v>
      </c>
      <c r="G206" s="22" t="n">
        <v>48</v>
      </c>
      <c r="H206" s="24" t="n">
        <v>1002300</v>
      </c>
      <c r="I206" s="22" t="n">
        <v>0</v>
      </c>
      <c r="J206" s="12" t="str">
        <f aca="false">IF(I206&lt;=0,"Current",IF(I206&lt;=30,"01-30 days",IF(I206&lt;=90,"31-90 days",IF(I206&lt;=180,"91-180 days","180+ days"))))</f>
        <v>Current</v>
      </c>
      <c r="K206" s="14" t="n">
        <f aca="false">INDEX(Assumptions!$B$11:$B$15,MATCH(J206,Assumptions!$A$11:$A$15,0))</f>
        <v>0.01</v>
      </c>
      <c r="L206" s="13" t="n">
        <f aca="false">H206*K206</f>
        <v>10023</v>
      </c>
      <c r="M206" s="13" t="n">
        <f aca="false">IF(I206&gt;Assumptions!$B$5,H206,0)</f>
        <v>0</v>
      </c>
      <c r="N206" s="13" t="n">
        <f aca="false">IF(I206&gt;Assumptions!$B$6,H206,0)</f>
        <v>0</v>
      </c>
    </row>
    <row r="207" customFormat="false" ht="15" hidden="false" customHeight="false" outlineLevel="0" collapsed="false">
      <c r="A207" s="22" t="s">
        <v>291</v>
      </c>
      <c r="B207" s="22" t="s">
        <v>44</v>
      </c>
      <c r="C207" s="22" t="s">
        <v>56</v>
      </c>
      <c r="D207" s="23" t="n">
        <v>45800</v>
      </c>
      <c r="E207" s="24" t="n">
        <v>551000</v>
      </c>
      <c r="F207" s="25" t="n">
        <v>0.16</v>
      </c>
      <c r="G207" s="22" t="n">
        <v>48</v>
      </c>
      <c r="H207" s="24" t="n">
        <v>266800</v>
      </c>
      <c r="I207" s="22" t="n">
        <v>0</v>
      </c>
      <c r="J207" s="12" t="str">
        <f aca="false">IF(I207&lt;=0,"Current",IF(I207&lt;=30,"01-30 days",IF(I207&lt;=90,"31-90 days",IF(I207&lt;=180,"91-180 days","180+ days"))))</f>
        <v>Current</v>
      </c>
      <c r="K207" s="14" t="n">
        <f aca="false">INDEX(Assumptions!$B$11:$B$15,MATCH(J207,Assumptions!$A$11:$A$15,0))</f>
        <v>0.01</v>
      </c>
      <c r="L207" s="13" t="n">
        <f aca="false">H207*K207</f>
        <v>2668</v>
      </c>
      <c r="M207" s="13" t="n">
        <f aca="false">IF(I207&gt;Assumptions!$B$5,H207,0)</f>
        <v>0</v>
      </c>
      <c r="N207" s="13" t="n">
        <f aca="false">IF(I207&gt;Assumptions!$B$6,H207,0)</f>
        <v>0</v>
      </c>
    </row>
    <row r="208" customFormat="false" ht="15" hidden="false" customHeight="false" outlineLevel="0" collapsed="false">
      <c r="A208" s="22" t="s">
        <v>292</v>
      </c>
      <c r="B208" s="22" t="s">
        <v>47</v>
      </c>
      <c r="C208" s="22" t="s">
        <v>56</v>
      </c>
      <c r="D208" s="23" t="n">
        <v>45665</v>
      </c>
      <c r="E208" s="24" t="n">
        <v>1130000</v>
      </c>
      <c r="F208" s="25" t="n">
        <v>0.16</v>
      </c>
      <c r="G208" s="22" t="n">
        <v>48</v>
      </c>
      <c r="H208" s="24" t="n">
        <v>277800</v>
      </c>
      <c r="I208" s="22" t="n">
        <v>0</v>
      </c>
      <c r="J208" s="12" t="str">
        <f aca="false">IF(I208&lt;=0,"Current",IF(I208&lt;=30,"01-30 days",IF(I208&lt;=90,"31-90 days",IF(I208&lt;=180,"91-180 days","180+ days"))))</f>
        <v>Current</v>
      </c>
      <c r="K208" s="14" t="n">
        <f aca="false">INDEX(Assumptions!$B$11:$B$15,MATCH(J208,Assumptions!$A$11:$A$15,0))</f>
        <v>0.01</v>
      </c>
      <c r="L208" s="13" t="n">
        <f aca="false">H208*K208</f>
        <v>2778</v>
      </c>
      <c r="M208" s="13" t="n">
        <f aca="false">IF(I208&gt;Assumptions!$B$5,H208,0)</f>
        <v>0</v>
      </c>
      <c r="N208" s="13" t="n">
        <f aca="false">IF(I208&gt;Assumptions!$B$6,H208,0)</f>
        <v>0</v>
      </c>
    </row>
    <row r="209" customFormat="false" ht="15" hidden="false" customHeight="false" outlineLevel="0" collapsed="false">
      <c r="A209" s="22" t="s">
        <v>293</v>
      </c>
      <c r="B209" s="22" t="s">
        <v>47</v>
      </c>
      <c r="C209" s="22" t="s">
        <v>52</v>
      </c>
      <c r="D209" s="23" t="n">
        <v>45429</v>
      </c>
      <c r="E209" s="24" t="n">
        <v>231000</v>
      </c>
      <c r="F209" s="25" t="n">
        <v>0.14</v>
      </c>
      <c r="G209" s="22" t="n">
        <v>36</v>
      </c>
      <c r="H209" s="24" t="n">
        <v>131000</v>
      </c>
      <c r="I209" s="22" t="n">
        <v>0</v>
      </c>
      <c r="J209" s="12" t="str">
        <f aca="false">IF(I209&lt;=0,"Current",IF(I209&lt;=30,"01-30 days",IF(I209&lt;=90,"31-90 days",IF(I209&lt;=180,"91-180 days","180+ days"))))</f>
        <v>Current</v>
      </c>
      <c r="K209" s="14" t="n">
        <f aca="false">INDEX(Assumptions!$B$11:$B$15,MATCH(J209,Assumptions!$A$11:$A$15,0))</f>
        <v>0.01</v>
      </c>
      <c r="L209" s="13" t="n">
        <f aca="false">H209*K209</f>
        <v>1310</v>
      </c>
      <c r="M209" s="13" t="n">
        <f aca="false">IF(I209&gt;Assumptions!$B$5,H209,0)</f>
        <v>0</v>
      </c>
      <c r="N209" s="13" t="n">
        <f aca="false">IF(I209&gt;Assumptions!$B$6,H209,0)</f>
        <v>0</v>
      </c>
    </row>
    <row r="210" customFormat="false" ht="15" hidden="false" customHeight="false" outlineLevel="0" collapsed="false">
      <c r="A210" s="22" t="s">
        <v>294</v>
      </c>
      <c r="B210" s="22" t="s">
        <v>44</v>
      </c>
      <c r="C210" s="22" t="s">
        <v>55</v>
      </c>
      <c r="D210" s="23" t="n">
        <v>45861</v>
      </c>
      <c r="E210" s="24" t="n">
        <v>163000</v>
      </c>
      <c r="F210" s="25" t="n">
        <v>0.12</v>
      </c>
      <c r="G210" s="22" t="n">
        <v>12</v>
      </c>
      <c r="H210" s="24" t="n">
        <v>123700</v>
      </c>
      <c r="I210" s="22" t="n">
        <v>8</v>
      </c>
      <c r="J210" s="12" t="str">
        <f aca="false">IF(I210&lt;=0,"Current",IF(I210&lt;=30,"01-30 days",IF(I210&lt;=90,"31-90 days",IF(I210&lt;=180,"91-180 days","180+ days"))))</f>
        <v>01-30 days</v>
      </c>
      <c r="K210" s="14" t="n">
        <f aca="false">INDEX(Assumptions!$B$11:$B$15,MATCH(J210,Assumptions!$A$11:$A$15,0))</f>
        <v>0.05</v>
      </c>
      <c r="L210" s="13" t="n">
        <f aca="false">H210*K210</f>
        <v>6185</v>
      </c>
      <c r="M210" s="13" t="n">
        <f aca="false">IF(I210&gt;Assumptions!$B$5,H210,0)</f>
        <v>0</v>
      </c>
      <c r="N210" s="13" t="n">
        <f aca="false">IF(I210&gt;Assumptions!$B$6,H210,0)</f>
        <v>0</v>
      </c>
    </row>
    <row r="211" customFormat="false" ht="15" hidden="false" customHeight="false" outlineLevel="0" collapsed="false">
      <c r="A211" s="22" t="s">
        <v>295</v>
      </c>
      <c r="B211" s="22" t="s">
        <v>45</v>
      </c>
      <c r="C211" s="22" t="s">
        <v>55</v>
      </c>
      <c r="D211" s="23" t="n">
        <v>46026</v>
      </c>
      <c r="E211" s="24" t="n">
        <v>49000</v>
      </c>
      <c r="F211" s="25" t="n">
        <v>0.12</v>
      </c>
      <c r="G211" s="22" t="n">
        <v>12</v>
      </c>
      <c r="H211" s="24" t="n">
        <v>45500</v>
      </c>
      <c r="I211" s="22" t="n">
        <v>0</v>
      </c>
      <c r="J211" s="12" t="str">
        <f aca="false">IF(I211&lt;=0,"Current",IF(I211&lt;=30,"01-30 days",IF(I211&lt;=90,"31-90 days",IF(I211&lt;=180,"91-180 days","180+ days"))))</f>
        <v>Current</v>
      </c>
      <c r="K211" s="14" t="n">
        <f aca="false">INDEX(Assumptions!$B$11:$B$15,MATCH(J211,Assumptions!$A$11:$A$15,0))</f>
        <v>0.01</v>
      </c>
      <c r="L211" s="13" t="n">
        <f aca="false">H211*K211</f>
        <v>455</v>
      </c>
      <c r="M211" s="13" t="n">
        <f aca="false">IF(I211&gt;Assumptions!$B$5,H211,0)</f>
        <v>0</v>
      </c>
      <c r="N211" s="13" t="n">
        <f aca="false">IF(I211&gt;Assumptions!$B$6,H211,0)</f>
        <v>0</v>
      </c>
    </row>
    <row r="212" customFormat="false" ht="15" hidden="false" customHeight="false" outlineLevel="0" collapsed="false">
      <c r="A212" s="22" t="s">
        <v>296</v>
      </c>
      <c r="B212" s="22" t="s">
        <v>48</v>
      </c>
      <c r="C212" s="22" t="s">
        <v>56</v>
      </c>
      <c r="D212" s="23" t="n">
        <v>45524</v>
      </c>
      <c r="E212" s="24" t="n">
        <v>670000</v>
      </c>
      <c r="F212" s="25" t="n">
        <v>0.16</v>
      </c>
      <c r="G212" s="22" t="n">
        <v>48</v>
      </c>
      <c r="H212" s="24" t="n">
        <v>282600</v>
      </c>
      <c r="I212" s="22" t="n">
        <v>28</v>
      </c>
      <c r="J212" s="12" t="str">
        <f aca="false">IF(I212&lt;=0,"Current",IF(I212&lt;=30,"01-30 days",IF(I212&lt;=90,"31-90 days",IF(I212&lt;=180,"91-180 days","180+ days"))))</f>
        <v>01-30 days</v>
      </c>
      <c r="K212" s="14" t="n">
        <f aca="false">INDEX(Assumptions!$B$11:$B$15,MATCH(J212,Assumptions!$A$11:$A$15,0))</f>
        <v>0.05</v>
      </c>
      <c r="L212" s="13" t="n">
        <f aca="false">H212*K212</f>
        <v>14130</v>
      </c>
      <c r="M212" s="13" t="n">
        <f aca="false">IF(I212&gt;Assumptions!$B$5,H212,0)</f>
        <v>0</v>
      </c>
      <c r="N212" s="13" t="n">
        <f aca="false">IF(I212&gt;Assumptions!$B$6,H212,0)</f>
        <v>0</v>
      </c>
    </row>
    <row r="213" customFormat="false" ht="15" hidden="false" customHeight="false" outlineLevel="0" collapsed="false">
      <c r="A213" s="22" t="s">
        <v>297</v>
      </c>
      <c r="B213" s="22" t="s">
        <v>45</v>
      </c>
      <c r="C213" s="22" t="s">
        <v>54</v>
      </c>
      <c r="D213" s="23" t="n">
        <v>46003</v>
      </c>
      <c r="E213" s="24" t="n">
        <v>362000</v>
      </c>
      <c r="F213" s="25" t="n">
        <v>0.15</v>
      </c>
      <c r="G213" s="22" t="n">
        <v>24</v>
      </c>
      <c r="H213" s="24" t="n">
        <v>131700</v>
      </c>
      <c r="I213" s="22" t="n">
        <v>19</v>
      </c>
      <c r="J213" s="12" t="str">
        <f aca="false">IF(I213&lt;=0,"Current",IF(I213&lt;=30,"01-30 days",IF(I213&lt;=90,"31-90 days",IF(I213&lt;=180,"91-180 days","180+ days"))))</f>
        <v>01-30 days</v>
      </c>
      <c r="K213" s="14" t="n">
        <f aca="false">INDEX(Assumptions!$B$11:$B$15,MATCH(J213,Assumptions!$A$11:$A$15,0))</f>
        <v>0.05</v>
      </c>
      <c r="L213" s="13" t="n">
        <f aca="false">H213*K213</f>
        <v>6585</v>
      </c>
      <c r="M213" s="13" t="n">
        <f aca="false">IF(I213&gt;Assumptions!$B$5,H213,0)</f>
        <v>0</v>
      </c>
      <c r="N213" s="13" t="n">
        <f aca="false">IF(I213&gt;Assumptions!$B$6,H213,0)</f>
        <v>0</v>
      </c>
    </row>
    <row r="214" customFormat="false" ht="15" hidden="false" customHeight="false" outlineLevel="0" collapsed="false">
      <c r="A214" s="22" t="s">
        <v>298</v>
      </c>
      <c r="B214" s="22" t="s">
        <v>49</v>
      </c>
      <c r="C214" s="22" t="s">
        <v>56</v>
      </c>
      <c r="D214" s="23" t="n">
        <v>46155</v>
      </c>
      <c r="E214" s="24" t="n">
        <v>563000</v>
      </c>
      <c r="F214" s="25" t="n">
        <v>0.16</v>
      </c>
      <c r="G214" s="22" t="n">
        <v>48</v>
      </c>
      <c r="H214" s="24" t="n">
        <v>307900</v>
      </c>
      <c r="I214" s="22" t="n">
        <v>0</v>
      </c>
      <c r="J214" s="12" t="str">
        <f aca="false">IF(I214&lt;=0,"Current",IF(I214&lt;=30,"01-30 days",IF(I214&lt;=90,"31-90 days",IF(I214&lt;=180,"91-180 days","180+ days"))))</f>
        <v>Current</v>
      </c>
      <c r="K214" s="14" t="n">
        <f aca="false">INDEX(Assumptions!$B$11:$B$15,MATCH(J214,Assumptions!$A$11:$A$15,0))</f>
        <v>0.01</v>
      </c>
      <c r="L214" s="13" t="n">
        <f aca="false">H214*K214</f>
        <v>3079</v>
      </c>
      <c r="M214" s="13" t="n">
        <f aca="false">IF(I214&gt;Assumptions!$B$5,H214,0)</f>
        <v>0</v>
      </c>
      <c r="N214" s="13" t="n">
        <f aca="false">IF(I214&gt;Assumptions!$B$6,H214,0)</f>
        <v>0</v>
      </c>
    </row>
    <row r="215" customFormat="false" ht="15" hidden="false" customHeight="false" outlineLevel="0" collapsed="false">
      <c r="A215" s="22" t="s">
        <v>299</v>
      </c>
      <c r="B215" s="22" t="s">
        <v>44</v>
      </c>
      <c r="C215" s="22" t="s">
        <v>55</v>
      </c>
      <c r="D215" s="23" t="n">
        <v>45544</v>
      </c>
      <c r="E215" s="24" t="n">
        <v>230000</v>
      </c>
      <c r="F215" s="25" t="n">
        <v>0.12</v>
      </c>
      <c r="G215" s="22" t="n">
        <v>12</v>
      </c>
      <c r="H215" s="24" t="n">
        <v>54500</v>
      </c>
      <c r="I215" s="22" t="n">
        <v>0</v>
      </c>
      <c r="J215" s="12" t="str">
        <f aca="false">IF(I215&lt;=0,"Current",IF(I215&lt;=30,"01-30 days",IF(I215&lt;=90,"31-90 days",IF(I215&lt;=180,"91-180 days","180+ days"))))</f>
        <v>Current</v>
      </c>
      <c r="K215" s="14" t="n">
        <f aca="false">INDEX(Assumptions!$B$11:$B$15,MATCH(J215,Assumptions!$A$11:$A$15,0))</f>
        <v>0.01</v>
      </c>
      <c r="L215" s="13" t="n">
        <f aca="false">H215*K215</f>
        <v>545</v>
      </c>
      <c r="M215" s="13" t="n">
        <f aca="false">IF(I215&gt;Assumptions!$B$5,H215,0)</f>
        <v>0</v>
      </c>
      <c r="N215" s="13" t="n">
        <f aca="false">IF(I215&gt;Assumptions!$B$6,H215,0)</f>
        <v>0</v>
      </c>
    </row>
    <row r="216" customFormat="false" ht="15" hidden="false" customHeight="false" outlineLevel="0" collapsed="false">
      <c r="A216" s="22" t="s">
        <v>300</v>
      </c>
      <c r="B216" s="22" t="s">
        <v>44</v>
      </c>
      <c r="C216" s="22" t="s">
        <v>56</v>
      </c>
      <c r="D216" s="23" t="n">
        <v>45900</v>
      </c>
      <c r="E216" s="24" t="n">
        <v>535000</v>
      </c>
      <c r="F216" s="25" t="n">
        <v>0.16</v>
      </c>
      <c r="G216" s="22" t="n">
        <v>48</v>
      </c>
      <c r="H216" s="24" t="n">
        <v>299700</v>
      </c>
      <c r="I216" s="22" t="n">
        <v>0</v>
      </c>
      <c r="J216" s="12" t="str">
        <f aca="false">IF(I216&lt;=0,"Current",IF(I216&lt;=30,"01-30 days",IF(I216&lt;=90,"31-90 days",IF(I216&lt;=180,"91-180 days","180+ days"))))</f>
        <v>Current</v>
      </c>
      <c r="K216" s="14" t="n">
        <f aca="false">INDEX(Assumptions!$B$11:$B$15,MATCH(J216,Assumptions!$A$11:$A$15,0))</f>
        <v>0.01</v>
      </c>
      <c r="L216" s="13" t="n">
        <f aca="false">H216*K216</f>
        <v>2997</v>
      </c>
      <c r="M216" s="13" t="n">
        <f aca="false">IF(I216&gt;Assumptions!$B$5,H216,0)</f>
        <v>0</v>
      </c>
      <c r="N216" s="13" t="n">
        <f aca="false">IF(I216&gt;Assumptions!$B$6,H216,0)</f>
        <v>0</v>
      </c>
    </row>
    <row r="217" customFormat="false" ht="15" hidden="false" customHeight="false" outlineLevel="0" collapsed="false">
      <c r="A217" s="22" t="s">
        <v>301</v>
      </c>
      <c r="B217" s="22" t="s">
        <v>46</v>
      </c>
      <c r="C217" s="22" t="s">
        <v>54</v>
      </c>
      <c r="D217" s="23" t="n">
        <v>45987</v>
      </c>
      <c r="E217" s="24" t="n">
        <v>291000</v>
      </c>
      <c r="F217" s="25" t="n">
        <v>0.15</v>
      </c>
      <c r="G217" s="22" t="n">
        <v>24</v>
      </c>
      <c r="H217" s="24" t="n">
        <v>155800</v>
      </c>
      <c r="I217" s="22" t="n">
        <v>0</v>
      </c>
      <c r="J217" s="12" t="str">
        <f aca="false">IF(I217&lt;=0,"Current",IF(I217&lt;=30,"01-30 days",IF(I217&lt;=90,"31-90 days",IF(I217&lt;=180,"91-180 days","180+ days"))))</f>
        <v>Current</v>
      </c>
      <c r="K217" s="14" t="n">
        <f aca="false">INDEX(Assumptions!$B$11:$B$15,MATCH(J217,Assumptions!$A$11:$A$15,0))</f>
        <v>0.01</v>
      </c>
      <c r="L217" s="13" t="n">
        <f aca="false">H217*K217</f>
        <v>1558</v>
      </c>
      <c r="M217" s="13" t="n">
        <f aca="false">IF(I217&gt;Assumptions!$B$5,H217,0)</f>
        <v>0</v>
      </c>
      <c r="N217" s="13" t="n">
        <f aca="false">IF(I217&gt;Assumptions!$B$6,H217,0)</f>
        <v>0</v>
      </c>
    </row>
    <row r="218" customFormat="false" ht="15" hidden="false" customHeight="false" outlineLevel="0" collapsed="false">
      <c r="A218" s="22" t="s">
        <v>302</v>
      </c>
      <c r="B218" s="22" t="s">
        <v>44</v>
      </c>
      <c r="C218" s="22" t="s">
        <v>55</v>
      </c>
      <c r="D218" s="23" t="n">
        <v>45340</v>
      </c>
      <c r="E218" s="24" t="n">
        <v>82000</v>
      </c>
      <c r="F218" s="25" t="n">
        <v>0.12</v>
      </c>
      <c r="G218" s="22" t="n">
        <v>12</v>
      </c>
      <c r="H218" s="24" t="n">
        <v>49600</v>
      </c>
      <c r="I218" s="22" t="n">
        <v>0</v>
      </c>
      <c r="J218" s="12" t="str">
        <f aca="false">IF(I218&lt;=0,"Current",IF(I218&lt;=30,"01-30 days",IF(I218&lt;=90,"31-90 days",IF(I218&lt;=180,"91-180 days","180+ days"))))</f>
        <v>Current</v>
      </c>
      <c r="K218" s="14" t="n">
        <f aca="false">INDEX(Assumptions!$B$11:$B$15,MATCH(J218,Assumptions!$A$11:$A$15,0))</f>
        <v>0.01</v>
      </c>
      <c r="L218" s="13" t="n">
        <f aca="false">H218*K218</f>
        <v>496</v>
      </c>
      <c r="M218" s="13" t="n">
        <f aca="false">IF(I218&gt;Assumptions!$B$5,H218,0)</f>
        <v>0</v>
      </c>
      <c r="N218" s="13" t="n">
        <f aca="false">IF(I218&gt;Assumptions!$B$6,H218,0)</f>
        <v>0</v>
      </c>
    </row>
    <row r="219" customFormat="false" ht="15" hidden="false" customHeight="false" outlineLevel="0" collapsed="false">
      <c r="A219" s="22" t="s">
        <v>303</v>
      </c>
      <c r="B219" s="22" t="s">
        <v>47</v>
      </c>
      <c r="C219" s="22" t="s">
        <v>54</v>
      </c>
      <c r="D219" s="23" t="n">
        <v>46051</v>
      </c>
      <c r="E219" s="24" t="n">
        <v>190000</v>
      </c>
      <c r="F219" s="25" t="n">
        <v>0.15</v>
      </c>
      <c r="G219" s="22" t="n">
        <v>24</v>
      </c>
      <c r="H219" s="24" t="n">
        <v>126500</v>
      </c>
      <c r="I219" s="22" t="n">
        <v>0</v>
      </c>
      <c r="J219" s="12" t="str">
        <f aca="false">IF(I219&lt;=0,"Current",IF(I219&lt;=30,"01-30 days",IF(I219&lt;=90,"31-90 days",IF(I219&lt;=180,"91-180 days","180+ days"))))</f>
        <v>Current</v>
      </c>
      <c r="K219" s="14" t="n">
        <f aca="false">INDEX(Assumptions!$B$11:$B$15,MATCH(J219,Assumptions!$A$11:$A$15,0))</f>
        <v>0.01</v>
      </c>
      <c r="L219" s="13" t="n">
        <f aca="false">H219*K219</f>
        <v>1265</v>
      </c>
      <c r="M219" s="13" t="n">
        <f aca="false">IF(I219&gt;Assumptions!$B$5,H219,0)</f>
        <v>0</v>
      </c>
      <c r="N219" s="13" t="n">
        <f aca="false">IF(I219&gt;Assumptions!$B$6,H219,0)</f>
        <v>0</v>
      </c>
    </row>
    <row r="220" customFormat="false" ht="15" hidden="false" customHeight="false" outlineLevel="0" collapsed="false">
      <c r="A220" s="22" t="s">
        <v>304</v>
      </c>
      <c r="B220" s="22" t="s">
        <v>45</v>
      </c>
      <c r="C220" s="22" t="s">
        <v>55</v>
      </c>
      <c r="D220" s="23" t="n">
        <v>45567</v>
      </c>
      <c r="E220" s="24" t="n">
        <v>175000</v>
      </c>
      <c r="F220" s="25" t="n">
        <v>0.12</v>
      </c>
      <c r="G220" s="22" t="n">
        <v>12</v>
      </c>
      <c r="H220" s="24" t="n">
        <v>156200</v>
      </c>
      <c r="I220" s="22" t="n">
        <v>0</v>
      </c>
      <c r="J220" s="12" t="str">
        <f aca="false">IF(I220&lt;=0,"Current",IF(I220&lt;=30,"01-30 days",IF(I220&lt;=90,"31-90 days",IF(I220&lt;=180,"91-180 days","180+ days"))))</f>
        <v>Current</v>
      </c>
      <c r="K220" s="14" t="n">
        <f aca="false">INDEX(Assumptions!$B$11:$B$15,MATCH(J220,Assumptions!$A$11:$A$15,0))</f>
        <v>0.01</v>
      </c>
      <c r="L220" s="13" t="n">
        <f aca="false">H220*K220</f>
        <v>1562</v>
      </c>
      <c r="M220" s="13" t="n">
        <f aca="false">IF(I220&gt;Assumptions!$B$5,H220,0)</f>
        <v>0</v>
      </c>
      <c r="N220" s="13" t="n">
        <f aca="false">IF(I220&gt;Assumptions!$B$6,H220,0)</f>
        <v>0</v>
      </c>
    </row>
    <row r="221" customFormat="false" ht="15" hidden="false" customHeight="false" outlineLevel="0" collapsed="false">
      <c r="A221" s="22" t="s">
        <v>305</v>
      </c>
      <c r="B221" s="22" t="s">
        <v>44</v>
      </c>
      <c r="C221" s="22" t="s">
        <v>52</v>
      </c>
      <c r="D221" s="23" t="n">
        <v>45432</v>
      </c>
      <c r="E221" s="24" t="n">
        <v>257000</v>
      </c>
      <c r="F221" s="25" t="n">
        <v>0.14</v>
      </c>
      <c r="G221" s="22" t="n">
        <v>36</v>
      </c>
      <c r="H221" s="24" t="n">
        <v>191700</v>
      </c>
      <c r="I221" s="22" t="n">
        <v>0</v>
      </c>
      <c r="J221" s="12" t="str">
        <f aca="false">IF(I221&lt;=0,"Current",IF(I221&lt;=30,"01-30 days",IF(I221&lt;=90,"31-90 days",IF(I221&lt;=180,"91-180 days","180+ days"))))</f>
        <v>Current</v>
      </c>
      <c r="K221" s="14" t="n">
        <f aca="false">INDEX(Assumptions!$B$11:$B$15,MATCH(J221,Assumptions!$A$11:$A$15,0))</f>
        <v>0.01</v>
      </c>
      <c r="L221" s="13" t="n">
        <f aca="false">H221*K221</f>
        <v>1917</v>
      </c>
      <c r="M221" s="13" t="n">
        <f aca="false">IF(I221&gt;Assumptions!$B$5,H221,0)</f>
        <v>0</v>
      </c>
      <c r="N221" s="13" t="n">
        <f aca="false">IF(I221&gt;Assumptions!$B$6,H221,0)</f>
        <v>0</v>
      </c>
    </row>
    <row r="222" customFormat="false" ht="15" hidden="false" customHeight="false" outlineLevel="0" collapsed="false">
      <c r="A222" s="22" t="s">
        <v>306</v>
      </c>
      <c r="B222" s="22" t="s">
        <v>48</v>
      </c>
      <c r="C222" s="22" t="s">
        <v>52</v>
      </c>
      <c r="D222" s="23" t="n">
        <v>45752</v>
      </c>
      <c r="E222" s="24" t="n">
        <v>120000</v>
      </c>
      <c r="F222" s="25" t="n">
        <v>0.14</v>
      </c>
      <c r="G222" s="22" t="n">
        <v>36</v>
      </c>
      <c r="H222" s="24" t="n">
        <v>113800</v>
      </c>
      <c r="I222" s="22" t="n">
        <v>0</v>
      </c>
      <c r="J222" s="12" t="str">
        <f aca="false">IF(I222&lt;=0,"Current",IF(I222&lt;=30,"01-30 days",IF(I222&lt;=90,"31-90 days",IF(I222&lt;=180,"91-180 days","180+ days"))))</f>
        <v>Current</v>
      </c>
      <c r="K222" s="14" t="n">
        <f aca="false">INDEX(Assumptions!$B$11:$B$15,MATCH(J222,Assumptions!$A$11:$A$15,0))</f>
        <v>0.01</v>
      </c>
      <c r="L222" s="13" t="n">
        <f aca="false">H222*K222</f>
        <v>1138</v>
      </c>
      <c r="M222" s="13" t="n">
        <f aca="false">IF(I222&gt;Assumptions!$B$5,H222,0)</f>
        <v>0</v>
      </c>
      <c r="N222" s="13" t="n">
        <f aca="false">IF(I222&gt;Assumptions!$B$6,H222,0)</f>
        <v>0</v>
      </c>
    </row>
    <row r="223" customFormat="false" ht="15" hidden="false" customHeight="false" outlineLevel="0" collapsed="false">
      <c r="A223" s="22" t="s">
        <v>307</v>
      </c>
      <c r="B223" s="22" t="s">
        <v>44</v>
      </c>
      <c r="C223" s="22" t="s">
        <v>55</v>
      </c>
      <c r="D223" s="23" t="n">
        <v>45977</v>
      </c>
      <c r="E223" s="24" t="n">
        <v>113000</v>
      </c>
      <c r="F223" s="25" t="n">
        <v>0.12</v>
      </c>
      <c r="G223" s="22" t="n">
        <v>12</v>
      </c>
      <c r="H223" s="24" t="n">
        <v>44300</v>
      </c>
      <c r="I223" s="22" t="n">
        <v>0</v>
      </c>
      <c r="J223" s="12" t="str">
        <f aca="false">IF(I223&lt;=0,"Current",IF(I223&lt;=30,"01-30 days",IF(I223&lt;=90,"31-90 days",IF(I223&lt;=180,"91-180 days","180+ days"))))</f>
        <v>Current</v>
      </c>
      <c r="K223" s="14" t="n">
        <f aca="false">INDEX(Assumptions!$B$11:$B$15,MATCH(J223,Assumptions!$A$11:$A$15,0))</f>
        <v>0.01</v>
      </c>
      <c r="L223" s="13" t="n">
        <f aca="false">H223*K223</f>
        <v>443</v>
      </c>
      <c r="M223" s="13" t="n">
        <f aca="false">IF(I223&gt;Assumptions!$B$5,H223,0)</f>
        <v>0</v>
      </c>
      <c r="N223" s="13" t="n">
        <f aca="false">IF(I223&gt;Assumptions!$B$6,H223,0)</f>
        <v>0</v>
      </c>
    </row>
    <row r="224" customFormat="false" ht="15" hidden="false" customHeight="false" outlineLevel="0" collapsed="false">
      <c r="A224" s="22" t="s">
        <v>308</v>
      </c>
      <c r="B224" s="22" t="s">
        <v>44</v>
      </c>
      <c r="C224" s="22" t="s">
        <v>55</v>
      </c>
      <c r="D224" s="23" t="n">
        <v>45611</v>
      </c>
      <c r="E224" s="24" t="n">
        <v>185000</v>
      </c>
      <c r="F224" s="25" t="n">
        <v>0.12</v>
      </c>
      <c r="G224" s="22" t="n">
        <v>12</v>
      </c>
      <c r="H224" s="24" t="n">
        <v>70100</v>
      </c>
      <c r="I224" s="22" t="n">
        <v>5</v>
      </c>
      <c r="J224" s="12" t="str">
        <f aca="false">IF(I224&lt;=0,"Current",IF(I224&lt;=30,"01-30 days",IF(I224&lt;=90,"31-90 days",IF(I224&lt;=180,"91-180 days","180+ days"))))</f>
        <v>01-30 days</v>
      </c>
      <c r="K224" s="14" t="n">
        <f aca="false">INDEX(Assumptions!$B$11:$B$15,MATCH(J224,Assumptions!$A$11:$A$15,0))</f>
        <v>0.05</v>
      </c>
      <c r="L224" s="13" t="n">
        <f aca="false">H224*K224</f>
        <v>3505</v>
      </c>
      <c r="M224" s="13" t="n">
        <f aca="false">IF(I224&gt;Assumptions!$B$5,H224,0)</f>
        <v>0</v>
      </c>
      <c r="N224" s="13" t="n">
        <f aca="false">IF(I224&gt;Assumptions!$B$6,H224,0)</f>
        <v>0</v>
      </c>
    </row>
    <row r="225" customFormat="false" ht="15" hidden="false" customHeight="false" outlineLevel="0" collapsed="false">
      <c r="A225" s="22" t="s">
        <v>309</v>
      </c>
      <c r="B225" s="22" t="s">
        <v>46</v>
      </c>
      <c r="C225" s="22" t="s">
        <v>55</v>
      </c>
      <c r="D225" s="23" t="n">
        <v>45853</v>
      </c>
      <c r="E225" s="24" t="n">
        <v>169000</v>
      </c>
      <c r="F225" s="25" t="n">
        <v>0.12</v>
      </c>
      <c r="G225" s="22" t="n">
        <v>12</v>
      </c>
      <c r="H225" s="24" t="n">
        <v>121800</v>
      </c>
      <c r="I225" s="22" t="n">
        <v>0</v>
      </c>
      <c r="J225" s="12" t="str">
        <f aca="false">IF(I225&lt;=0,"Current",IF(I225&lt;=30,"01-30 days",IF(I225&lt;=90,"31-90 days",IF(I225&lt;=180,"91-180 days","180+ days"))))</f>
        <v>Current</v>
      </c>
      <c r="K225" s="14" t="n">
        <f aca="false">INDEX(Assumptions!$B$11:$B$15,MATCH(J225,Assumptions!$A$11:$A$15,0))</f>
        <v>0.01</v>
      </c>
      <c r="L225" s="13" t="n">
        <f aca="false">H225*K225</f>
        <v>1218</v>
      </c>
      <c r="M225" s="13" t="n">
        <f aca="false">IF(I225&gt;Assumptions!$B$5,H225,0)</f>
        <v>0</v>
      </c>
      <c r="N225" s="13" t="n">
        <f aca="false">IF(I225&gt;Assumptions!$B$6,H225,0)</f>
        <v>0</v>
      </c>
    </row>
    <row r="226" customFormat="false" ht="15" hidden="false" customHeight="false" outlineLevel="0" collapsed="false">
      <c r="A226" s="22" t="s">
        <v>310</v>
      </c>
      <c r="B226" s="22" t="s">
        <v>45</v>
      </c>
      <c r="C226" s="22" t="s">
        <v>55</v>
      </c>
      <c r="D226" s="23" t="n">
        <v>46146</v>
      </c>
      <c r="E226" s="24" t="n">
        <v>200000</v>
      </c>
      <c r="F226" s="25" t="n">
        <v>0.12</v>
      </c>
      <c r="G226" s="22" t="n">
        <v>12</v>
      </c>
      <c r="H226" s="24" t="n">
        <v>96500</v>
      </c>
      <c r="I226" s="22" t="n">
        <v>0</v>
      </c>
      <c r="J226" s="12" t="str">
        <f aca="false">IF(I226&lt;=0,"Current",IF(I226&lt;=30,"01-30 days",IF(I226&lt;=90,"31-90 days",IF(I226&lt;=180,"91-180 days","180+ days"))))</f>
        <v>Current</v>
      </c>
      <c r="K226" s="14" t="n">
        <f aca="false">INDEX(Assumptions!$B$11:$B$15,MATCH(J226,Assumptions!$A$11:$A$15,0))</f>
        <v>0.01</v>
      </c>
      <c r="L226" s="13" t="n">
        <f aca="false">H226*K226</f>
        <v>965</v>
      </c>
      <c r="M226" s="13" t="n">
        <f aca="false">IF(I226&gt;Assumptions!$B$5,H226,0)</f>
        <v>0</v>
      </c>
      <c r="N226" s="13" t="n">
        <f aca="false">IF(I226&gt;Assumptions!$B$6,H226,0)</f>
        <v>0</v>
      </c>
    </row>
    <row r="227" customFormat="false" ht="15" hidden="false" customHeight="false" outlineLevel="0" collapsed="false">
      <c r="A227" s="22" t="s">
        <v>311</v>
      </c>
      <c r="B227" s="22" t="s">
        <v>45</v>
      </c>
      <c r="C227" s="22" t="s">
        <v>55</v>
      </c>
      <c r="D227" s="23" t="n">
        <v>45656</v>
      </c>
      <c r="E227" s="24" t="n">
        <v>133000</v>
      </c>
      <c r="F227" s="25" t="n">
        <v>0.12</v>
      </c>
      <c r="G227" s="22" t="n">
        <v>12</v>
      </c>
      <c r="H227" s="24" t="n">
        <v>40200</v>
      </c>
      <c r="I227" s="22" t="n">
        <v>0</v>
      </c>
      <c r="J227" s="12" t="str">
        <f aca="false">IF(I227&lt;=0,"Current",IF(I227&lt;=30,"01-30 days",IF(I227&lt;=90,"31-90 days",IF(I227&lt;=180,"91-180 days","180+ days"))))</f>
        <v>Current</v>
      </c>
      <c r="K227" s="14" t="n">
        <f aca="false">INDEX(Assumptions!$B$11:$B$15,MATCH(J227,Assumptions!$A$11:$A$15,0))</f>
        <v>0.01</v>
      </c>
      <c r="L227" s="13" t="n">
        <f aca="false">H227*K227</f>
        <v>402</v>
      </c>
      <c r="M227" s="13" t="n">
        <f aca="false">IF(I227&gt;Assumptions!$B$5,H227,0)</f>
        <v>0</v>
      </c>
      <c r="N227" s="13" t="n">
        <f aca="false">IF(I227&gt;Assumptions!$B$6,H227,0)</f>
        <v>0</v>
      </c>
    </row>
    <row r="228" customFormat="false" ht="15" hidden="false" customHeight="false" outlineLevel="0" collapsed="false">
      <c r="A228" s="22" t="s">
        <v>312</v>
      </c>
      <c r="B228" s="22" t="s">
        <v>45</v>
      </c>
      <c r="C228" s="22" t="s">
        <v>54</v>
      </c>
      <c r="D228" s="23" t="n">
        <v>45871</v>
      </c>
      <c r="E228" s="24" t="n">
        <v>239000</v>
      </c>
      <c r="F228" s="25" t="n">
        <v>0.15</v>
      </c>
      <c r="G228" s="22" t="n">
        <v>24</v>
      </c>
      <c r="H228" s="24" t="n">
        <v>109600</v>
      </c>
      <c r="I228" s="22" t="n">
        <v>85</v>
      </c>
      <c r="J228" s="12" t="str">
        <f aca="false">IF(I228&lt;=0,"Current",IF(I228&lt;=30,"01-30 days",IF(I228&lt;=90,"31-90 days",IF(I228&lt;=180,"91-180 days","180+ days"))))</f>
        <v>31-90 days</v>
      </c>
      <c r="K228" s="14" t="n">
        <f aca="false">INDEX(Assumptions!$B$11:$B$15,MATCH(J228,Assumptions!$A$11:$A$15,0))</f>
        <v>0.25</v>
      </c>
      <c r="L228" s="13" t="n">
        <f aca="false">H228*K228</f>
        <v>27400</v>
      </c>
      <c r="M228" s="13" t="n">
        <f aca="false">IF(I228&gt;Assumptions!$B$5,H228,0)</f>
        <v>109600</v>
      </c>
      <c r="N228" s="13" t="n">
        <f aca="false">IF(I228&gt;Assumptions!$B$6,H228,0)</f>
        <v>0</v>
      </c>
    </row>
    <row r="229" customFormat="false" ht="15" hidden="false" customHeight="false" outlineLevel="0" collapsed="false">
      <c r="A229" s="22" t="s">
        <v>313</v>
      </c>
      <c r="B229" s="22" t="s">
        <v>44</v>
      </c>
      <c r="C229" s="22" t="s">
        <v>54</v>
      </c>
      <c r="D229" s="23" t="n">
        <v>45513</v>
      </c>
      <c r="E229" s="24" t="n">
        <v>388000</v>
      </c>
      <c r="F229" s="25" t="n">
        <v>0.15</v>
      </c>
      <c r="G229" s="22" t="n">
        <v>24</v>
      </c>
      <c r="H229" s="24" t="n">
        <v>272700</v>
      </c>
      <c r="I229" s="22" t="n">
        <v>0</v>
      </c>
      <c r="J229" s="12" t="str">
        <f aca="false">IF(I229&lt;=0,"Current",IF(I229&lt;=30,"01-30 days",IF(I229&lt;=90,"31-90 days",IF(I229&lt;=180,"91-180 days","180+ days"))))</f>
        <v>Current</v>
      </c>
      <c r="K229" s="14" t="n">
        <f aca="false">INDEX(Assumptions!$B$11:$B$15,MATCH(J229,Assumptions!$A$11:$A$15,0))</f>
        <v>0.01</v>
      </c>
      <c r="L229" s="13" t="n">
        <f aca="false">H229*K229</f>
        <v>2727</v>
      </c>
      <c r="M229" s="13" t="n">
        <f aca="false">IF(I229&gt;Assumptions!$B$5,H229,0)</f>
        <v>0</v>
      </c>
      <c r="N229" s="13" t="n">
        <f aca="false">IF(I229&gt;Assumptions!$B$6,H229,0)</f>
        <v>0</v>
      </c>
    </row>
    <row r="230" customFormat="false" ht="15" hidden="false" customHeight="false" outlineLevel="0" collapsed="false">
      <c r="A230" s="22" t="s">
        <v>314</v>
      </c>
      <c r="B230" s="22" t="s">
        <v>47</v>
      </c>
      <c r="C230" s="22" t="s">
        <v>54</v>
      </c>
      <c r="D230" s="23" t="n">
        <v>45675</v>
      </c>
      <c r="E230" s="24" t="n">
        <v>391000</v>
      </c>
      <c r="F230" s="25" t="n">
        <v>0.15</v>
      </c>
      <c r="G230" s="22" t="n">
        <v>24</v>
      </c>
      <c r="H230" s="24" t="n">
        <v>114000</v>
      </c>
      <c r="I230" s="22" t="n">
        <v>0</v>
      </c>
      <c r="J230" s="12" t="str">
        <f aca="false">IF(I230&lt;=0,"Current",IF(I230&lt;=30,"01-30 days",IF(I230&lt;=90,"31-90 days",IF(I230&lt;=180,"91-180 days","180+ days"))))</f>
        <v>Current</v>
      </c>
      <c r="K230" s="14" t="n">
        <f aca="false">INDEX(Assumptions!$B$11:$B$15,MATCH(J230,Assumptions!$A$11:$A$15,0))</f>
        <v>0.01</v>
      </c>
      <c r="L230" s="13" t="n">
        <f aca="false">H230*K230</f>
        <v>1140</v>
      </c>
      <c r="M230" s="13" t="n">
        <f aca="false">IF(I230&gt;Assumptions!$B$5,H230,0)</f>
        <v>0</v>
      </c>
      <c r="N230" s="13" t="n">
        <f aca="false">IF(I230&gt;Assumptions!$B$6,H230,0)</f>
        <v>0</v>
      </c>
    </row>
    <row r="231" customFormat="false" ht="15" hidden="false" customHeight="false" outlineLevel="0" collapsed="false">
      <c r="A231" s="22" t="s">
        <v>315</v>
      </c>
      <c r="B231" s="22" t="s">
        <v>45</v>
      </c>
      <c r="C231" s="22" t="s">
        <v>54</v>
      </c>
      <c r="D231" s="23" t="n">
        <v>45583</v>
      </c>
      <c r="E231" s="24" t="n">
        <v>96000</v>
      </c>
      <c r="F231" s="25" t="n">
        <v>0.15</v>
      </c>
      <c r="G231" s="22" t="n">
        <v>24</v>
      </c>
      <c r="H231" s="24" t="n">
        <v>76800</v>
      </c>
      <c r="I231" s="22" t="n">
        <v>279</v>
      </c>
      <c r="J231" s="12" t="str">
        <f aca="false">IF(I231&lt;=0,"Current",IF(I231&lt;=30,"01-30 days",IF(I231&lt;=90,"31-90 days",IF(I231&lt;=180,"91-180 days","180+ days"))))</f>
        <v>180+ days</v>
      </c>
      <c r="K231" s="14" t="n">
        <f aca="false">INDEX(Assumptions!$B$11:$B$15,MATCH(J231,Assumptions!$A$11:$A$15,0))</f>
        <v>1</v>
      </c>
      <c r="L231" s="13" t="n">
        <f aca="false">H231*K231</f>
        <v>76800</v>
      </c>
      <c r="M231" s="13" t="n">
        <f aca="false">IF(I231&gt;Assumptions!$B$5,H231,0)</f>
        <v>76800</v>
      </c>
      <c r="N231" s="13" t="n">
        <f aca="false">IF(I231&gt;Assumptions!$B$6,H231,0)</f>
        <v>76800</v>
      </c>
    </row>
    <row r="232" customFormat="false" ht="15" hidden="false" customHeight="false" outlineLevel="0" collapsed="false">
      <c r="A232" s="22" t="s">
        <v>316</v>
      </c>
      <c r="B232" s="22" t="s">
        <v>46</v>
      </c>
      <c r="C232" s="22" t="s">
        <v>54</v>
      </c>
      <c r="D232" s="23" t="n">
        <v>45778</v>
      </c>
      <c r="E232" s="24" t="n">
        <v>163000</v>
      </c>
      <c r="F232" s="25" t="n">
        <v>0.15</v>
      </c>
      <c r="G232" s="22" t="n">
        <v>24</v>
      </c>
      <c r="H232" s="24" t="n">
        <v>52000</v>
      </c>
      <c r="I232" s="22" t="n">
        <v>0</v>
      </c>
      <c r="J232" s="12" t="str">
        <f aca="false">IF(I232&lt;=0,"Current",IF(I232&lt;=30,"01-30 days",IF(I232&lt;=90,"31-90 days",IF(I232&lt;=180,"91-180 days","180+ days"))))</f>
        <v>Current</v>
      </c>
      <c r="K232" s="14" t="n">
        <f aca="false">INDEX(Assumptions!$B$11:$B$15,MATCH(J232,Assumptions!$A$11:$A$15,0))</f>
        <v>0.01</v>
      </c>
      <c r="L232" s="13" t="n">
        <f aca="false">H232*K232</f>
        <v>520</v>
      </c>
      <c r="M232" s="13" t="n">
        <f aca="false">IF(I232&gt;Assumptions!$B$5,H232,0)</f>
        <v>0</v>
      </c>
      <c r="N232" s="13" t="n">
        <f aca="false">IF(I232&gt;Assumptions!$B$6,H232,0)</f>
        <v>0</v>
      </c>
    </row>
    <row r="233" customFormat="false" ht="15" hidden="false" customHeight="false" outlineLevel="0" collapsed="false">
      <c r="A233" s="22" t="s">
        <v>317</v>
      </c>
      <c r="B233" s="22" t="s">
        <v>48</v>
      </c>
      <c r="C233" s="22" t="s">
        <v>54</v>
      </c>
      <c r="D233" s="23" t="n">
        <v>46052</v>
      </c>
      <c r="E233" s="24" t="n">
        <v>390000</v>
      </c>
      <c r="F233" s="25" t="n">
        <v>0.15</v>
      </c>
      <c r="G233" s="22" t="n">
        <v>24</v>
      </c>
      <c r="H233" s="24" t="n">
        <v>286400</v>
      </c>
      <c r="I233" s="22" t="n">
        <v>0</v>
      </c>
      <c r="J233" s="12" t="str">
        <f aca="false">IF(I233&lt;=0,"Current",IF(I233&lt;=30,"01-30 days",IF(I233&lt;=90,"31-90 days",IF(I233&lt;=180,"91-180 days","180+ days"))))</f>
        <v>Current</v>
      </c>
      <c r="K233" s="14" t="n">
        <f aca="false">INDEX(Assumptions!$B$11:$B$15,MATCH(J233,Assumptions!$A$11:$A$15,0))</f>
        <v>0.01</v>
      </c>
      <c r="L233" s="13" t="n">
        <f aca="false">H233*K233</f>
        <v>2864</v>
      </c>
      <c r="M233" s="13" t="n">
        <f aca="false">IF(I233&gt;Assumptions!$B$5,H233,0)</f>
        <v>0</v>
      </c>
      <c r="N233" s="13" t="n">
        <f aca="false">IF(I233&gt;Assumptions!$B$6,H233,0)</f>
        <v>0</v>
      </c>
    </row>
    <row r="234" customFormat="false" ht="15" hidden="false" customHeight="false" outlineLevel="0" collapsed="false">
      <c r="A234" s="22" t="s">
        <v>318</v>
      </c>
      <c r="B234" s="22" t="s">
        <v>45</v>
      </c>
      <c r="C234" s="22" t="s">
        <v>55</v>
      </c>
      <c r="D234" s="23" t="n">
        <v>46010</v>
      </c>
      <c r="E234" s="24" t="n">
        <v>235000</v>
      </c>
      <c r="F234" s="25" t="n">
        <v>0.12</v>
      </c>
      <c r="G234" s="22" t="n">
        <v>12</v>
      </c>
      <c r="H234" s="24" t="n">
        <v>73600</v>
      </c>
      <c r="I234" s="22" t="n">
        <v>0</v>
      </c>
      <c r="J234" s="12" t="str">
        <f aca="false">IF(I234&lt;=0,"Current",IF(I234&lt;=30,"01-30 days",IF(I234&lt;=90,"31-90 days",IF(I234&lt;=180,"91-180 days","180+ days"))))</f>
        <v>Current</v>
      </c>
      <c r="K234" s="14" t="n">
        <f aca="false">INDEX(Assumptions!$B$11:$B$15,MATCH(J234,Assumptions!$A$11:$A$15,0))</f>
        <v>0.01</v>
      </c>
      <c r="L234" s="13" t="n">
        <f aca="false">H234*K234</f>
        <v>736</v>
      </c>
      <c r="M234" s="13" t="n">
        <f aca="false">IF(I234&gt;Assumptions!$B$5,H234,0)</f>
        <v>0</v>
      </c>
      <c r="N234" s="13" t="n">
        <f aca="false">IF(I234&gt;Assumptions!$B$6,H234,0)</f>
        <v>0</v>
      </c>
    </row>
    <row r="235" customFormat="false" ht="15" hidden="false" customHeight="false" outlineLevel="0" collapsed="false">
      <c r="A235" s="22" t="s">
        <v>319</v>
      </c>
      <c r="B235" s="22" t="s">
        <v>48</v>
      </c>
      <c r="C235" s="22" t="s">
        <v>54</v>
      </c>
      <c r="D235" s="23" t="n">
        <v>45415</v>
      </c>
      <c r="E235" s="24" t="n">
        <v>408000</v>
      </c>
      <c r="F235" s="25" t="n">
        <v>0.15</v>
      </c>
      <c r="G235" s="22" t="n">
        <v>24</v>
      </c>
      <c r="H235" s="24" t="n">
        <v>361500</v>
      </c>
      <c r="I235" s="22" t="n">
        <v>0</v>
      </c>
      <c r="J235" s="12" t="str">
        <f aca="false">IF(I235&lt;=0,"Current",IF(I235&lt;=30,"01-30 days",IF(I235&lt;=90,"31-90 days",IF(I235&lt;=180,"91-180 days","180+ days"))))</f>
        <v>Current</v>
      </c>
      <c r="K235" s="14" t="n">
        <f aca="false">INDEX(Assumptions!$B$11:$B$15,MATCH(J235,Assumptions!$A$11:$A$15,0))</f>
        <v>0.01</v>
      </c>
      <c r="L235" s="13" t="n">
        <f aca="false">H235*K235</f>
        <v>3615</v>
      </c>
      <c r="M235" s="13" t="n">
        <f aca="false">IF(I235&gt;Assumptions!$B$5,H235,0)</f>
        <v>0</v>
      </c>
      <c r="N235" s="13" t="n">
        <f aca="false">IF(I235&gt;Assumptions!$B$6,H235,0)</f>
        <v>0</v>
      </c>
    </row>
    <row r="236" customFormat="false" ht="15" hidden="false" customHeight="false" outlineLevel="0" collapsed="false">
      <c r="A236" s="22" t="s">
        <v>320</v>
      </c>
      <c r="B236" s="22" t="s">
        <v>45</v>
      </c>
      <c r="C236" s="22" t="s">
        <v>52</v>
      </c>
      <c r="D236" s="23" t="n">
        <v>46159</v>
      </c>
      <c r="E236" s="24" t="n">
        <v>514000</v>
      </c>
      <c r="F236" s="25" t="n">
        <v>0.14</v>
      </c>
      <c r="G236" s="22" t="n">
        <v>36</v>
      </c>
      <c r="H236" s="24" t="n">
        <v>207700</v>
      </c>
      <c r="I236" s="22" t="n">
        <v>0</v>
      </c>
      <c r="J236" s="12" t="str">
        <f aca="false">IF(I236&lt;=0,"Current",IF(I236&lt;=30,"01-30 days",IF(I236&lt;=90,"31-90 days",IF(I236&lt;=180,"91-180 days","180+ days"))))</f>
        <v>Current</v>
      </c>
      <c r="K236" s="14" t="n">
        <f aca="false">INDEX(Assumptions!$B$11:$B$15,MATCH(J236,Assumptions!$A$11:$A$15,0))</f>
        <v>0.01</v>
      </c>
      <c r="L236" s="13" t="n">
        <f aca="false">H236*K236</f>
        <v>2077</v>
      </c>
      <c r="M236" s="13" t="n">
        <f aca="false">IF(I236&gt;Assumptions!$B$5,H236,0)</f>
        <v>0</v>
      </c>
      <c r="N236" s="13" t="n">
        <f aca="false">IF(I236&gt;Assumptions!$B$6,H236,0)</f>
        <v>0</v>
      </c>
    </row>
    <row r="237" customFormat="false" ht="15" hidden="false" customHeight="false" outlineLevel="0" collapsed="false">
      <c r="A237" s="22" t="s">
        <v>321</v>
      </c>
      <c r="B237" s="22" t="s">
        <v>47</v>
      </c>
      <c r="C237" s="22" t="s">
        <v>55</v>
      </c>
      <c r="D237" s="23" t="n">
        <v>45316</v>
      </c>
      <c r="E237" s="24" t="n">
        <v>214000</v>
      </c>
      <c r="F237" s="25" t="n">
        <v>0.12</v>
      </c>
      <c r="G237" s="22" t="n">
        <v>12</v>
      </c>
      <c r="H237" s="24" t="n">
        <v>95000</v>
      </c>
      <c r="I237" s="22" t="n">
        <v>0</v>
      </c>
      <c r="J237" s="12" t="str">
        <f aca="false">IF(I237&lt;=0,"Current",IF(I237&lt;=30,"01-30 days",IF(I237&lt;=90,"31-90 days",IF(I237&lt;=180,"91-180 days","180+ days"))))</f>
        <v>Current</v>
      </c>
      <c r="K237" s="14" t="n">
        <f aca="false">INDEX(Assumptions!$B$11:$B$15,MATCH(J237,Assumptions!$A$11:$A$15,0))</f>
        <v>0.01</v>
      </c>
      <c r="L237" s="13" t="n">
        <f aca="false">H237*K237</f>
        <v>950</v>
      </c>
      <c r="M237" s="13" t="n">
        <f aca="false">IF(I237&gt;Assumptions!$B$5,H237,0)</f>
        <v>0</v>
      </c>
      <c r="N237" s="13" t="n">
        <f aca="false">IF(I237&gt;Assumptions!$B$6,H237,0)</f>
        <v>0</v>
      </c>
    </row>
    <row r="238" customFormat="false" ht="15" hidden="false" customHeight="false" outlineLevel="0" collapsed="false">
      <c r="A238" s="22" t="s">
        <v>322</v>
      </c>
      <c r="B238" s="22" t="s">
        <v>44</v>
      </c>
      <c r="C238" s="22" t="s">
        <v>54</v>
      </c>
      <c r="D238" s="23" t="n">
        <v>45922</v>
      </c>
      <c r="E238" s="24" t="n">
        <v>241000</v>
      </c>
      <c r="F238" s="25" t="n">
        <v>0.15</v>
      </c>
      <c r="G238" s="22" t="n">
        <v>24</v>
      </c>
      <c r="H238" s="24" t="n">
        <v>150500</v>
      </c>
      <c r="I238" s="22" t="n">
        <v>87</v>
      </c>
      <c r="J238" s="12" t="str">
        <f aca="false">IF(I238&lt;=0,"Current",IF(I238&lt;=30,"01-30 days",IF(I238&lt;=90,"31-90 days",IF(I238&lt;=180,"91-180 days","180+ days"))))</f>
        <v>31-90 days</v>
      </c>
      <c r="K238" s="14" t="n">
        <f aca="false">INDEX(Assumptions!$B$11:$B$15,MATCH(J238,Assumptions!$A$11:$A$15,0))</f>
        <v>0.25</v>
      </c>
      <c r="L238" s="13" t="n">
        <f aca="false">H238*K238</f>
        <v>37625</v>
      </c>
      <c r="M238" s="13" t="n">
        <f aca="false">IF(I238&gt;Assumptions!$B$5,H238,0)</f>
        <v>150500</v>
      </c>
      <c r="N238" s="13" t="n">
        <f aca="false">IF(I238&gt;Assumptions!$B$6,H238,0)</f>
        <v>0</v>
      </c>
    </row>
    <row r="239" customFormat="false" ht="15" hidden="false" customHeight="false" outlineLevel="0" collapsed="false">
      <c r="A239" s="22" t="s">
        <v>323</v>
      </c>
      <c r="B239" s="22" t="s">
        <v>45</v>
      </c>
      <c r="C239" s="22" t="s">
        <v>54</v>
      </c>
      <c r="D239" s="23" t="n">
        <v>46081</v>
      </c>
      <c r="E239" s="24" t="n">
        <v>65000</v>
      </c>
      <c r="F239" s="25" t="n">
        <v>0.15</v>
      </c>
      <c r="G239" s="22" t="n">
        <v>24</v>
      </c>
      <c r="H239" s="24" t="n">
        <v>41100</v>
      </c>
      <c r="I239" s="22" t="n">
        <v>0</v>
      </c>
      <c r="J239" s="12" t="str">
        <f aca="false">IF(I239&lt;=0,"Current",IF(I239&lt;=30,"01-30 days",IF(I239&lt;=90,"31-90 days",IF(I239&lt;=180,"91-180 days","180+ days"))))</f>
        <v>Current</v>
      </c>
      <c r="K239" s="14" t="n">
        <f aca="false">INDEX(Assumptions!$B$11:$B$15,MATCH(J239,Assumptions!$A$11:$A$15,0))</f>
        <v>0.01</v>
      </c>
      <c r="L239" s="13" t="n">
        <f aca="false">H239*K239</f>
        <v>411</v>
      </c>
      <c r="M239" s="13" t="n">
        <f aca="false">IF(I239&gt;Assumptions!$B$5,H239,0)</f>
        <v>0</v>
      </c>
      <c r="N239" s="13" t="n">
        <f aca="false">IF(I239&gt;Assumptions!$B$6,H239,0)</f>
        <v>0</v>
      </c>
    </row>
    <row r="240" customFormat="false" ht="15" hidden="false" customHeight="false" outlineLevel="0" collapsed="false">
      <c r="A240" s="22" t="s">
        <v>324</v>
      </c>
      <c r="B240" s="22" t="s">
        <v>44</v>
      </c>
      <c r="C240" s="22" t="s">
        <v>52</v>
      </c>
      <c r="D240" s="23" t="n">
        <v>45357</v>
      </c>
      <c r="E240" s="24" t="n">
        <v>735000</v>
      </c>
      <c r="F240" s="25" t="n">
        <v>0.14</v>
      </c>
      <c r="G240" s="22" t="n">
        <v>36</v>
      </c>
      <c r="H240" s="24" t="n">
        <v>446300</v>
      </c>
      <c r="I240" s="22" t="n">
        <v>0</v>
      </c>
      <c r="J240" s="12" t="str">
        <f aca="false">IF(I240&lt;=0,"Current",IF(I240&lt;=30,"01-30 days",IF(I240&lt;=90,"31-90 days",IF(I240&lt;=180,"91-180 days","180+ days"))))</f>
        <v>Current</v>
      </c>
      <c r="K240" s="14" t="n">
        <f aca="false">INDEX(Assumptions!$B$11:$B$15,MATCH(J240,Assumptions!$A$11:$A$15,0))</f>
        <v>0.01</v>
      </c>
      <c r="L240" s="13" t="n">
        <f aca="false">H240*K240</f>
        <v>4463</v>
      </c>
      <c r="M240" s="13" t="n">
        <f aca="false">IF(I240&gt;Assumptions!$B$5,H240,0)</f>
        <v>0</v>
      </c>
      <c r="N240" s="13" t="n">
        <f aca="false">IF(I240&gt;Assumptions!$B$6,H240,0)</f>
        <v>0</v>
      </c>
    </row>
    <row r="241" customFormat="false" ht="15" hidden="false" customHeight="false" outlineLevel="0" collapsed="false">
      <c r="A241" s="22" t="s">
        <v>325</v>
      </c>
      <c r="B241" s="22" t="s">
        <v>45</v>
      </c>
      <c r="C241" s="22" t="s">
        <v>55</v>
      </c>
      <c r="D241" s="23" t="n">
        <v>45331</v>
      </c>
      <c r="E241" s="24" t="n">
        <v>145000</v>
      </c>
      <c r="F241" s="25" t="n">
        <v>0.12</v>
      </c>
      <c r="G241" s="22" t="n">
        <v>12</v>
      </c>
      <c r="H241" s="24" t="n">
        <v>70500</v>
      </c>
      <c r="I241" s="22" t="n">
        <v>0</v>
      </c>
      <c r="J241" s="12" t="str">
        <f aca="false">IF(I241&lt;=0,"Current",IF(I241&lt;=30,"01-30 days",IF(I241&lt;=90,"31-90 days",IF(I241&lt;=180,"91-180 days","180+ days"))))</f>
        <v>Current</v>
      </c>
      <c r="K241" s="14" t="n">
        <f aca="false">INDEX(Assumptions!$B$11:$B$15,MATCH(J241,Assumptions!$A$11:$A$15,0))</f>
        <v>0.01</v>
      </c>
      <c r="L241" s="13" t="n">
        <f aca="false">H241*K241</f>
        <v>705</v>
      </c>
      <c r="M241" s="13" t="n">
        <f aca="false">IF(I241&gt;Assumptions!$B$5,H241,0)</f>
        <v>0</v>
      </c>
      <c r="N241" s="13" t="n">
        <f aca="false">IF(I241&gt;Assumptions!$B$6,H241,0)</f>
        <v>0</v>
      </c>
    </row>
    <row r="242" customFormat="false" ht="15" hidden="false" customHeight="false" outlineLevel="0" collapsed="false">
      <c r="A242" s="22" t="s">
        <v>326</v>
      </c>
      <c r="B242" s="22" t="s">
        <v>48</v>
      </c>
      <c r="C242" s="22" t="s">
        <v>56</v>
      </c>
      <c r="D242" s="23" t="n">
        <v>45313</v>
      </c>
      <c r="E242" s="24" t="n">
        <v>758000</v>
      </c>
      <c r="F242" s="25" t="n">
        <v>0.16</v>
      </c>
      <c r="G242" s="22" t="n">
        <v>48</v>
      </c>
      <c r="H242" s="24" t="n">
        <v>327000</v>
      </c>
      <c r="I242" s="22" t="n">
        <v>0</v>
      </c>
      <c r="J242" s="12" t="str">
        <f aca="false">IF(I242&lt;=0,"Current",IF(I242&lt;=30,"01-30 days",IF(I242&lt;=90,"31-90 days",IF(I242&lt;=180,"91-180 days","180+ days"))))</f>
        <v>Current</v>
      </c>
      <c r="K242" s="14" t="n">
        <f aca="false">INDEX(Assumptions!$B$11:$B$15,MATCH(J242,Assumptions!$A$11:$A$15,0))</f>
        <v>0.01</v>
      </c>
      <c r="L242" s="13" t="n">
        <f aca="false">H242*K242</f>
        <v>3270</v>
      </c>
      <c r="M242" s="13" t="n">
        <f aca="false">IF(I242&gt;Assumptions!$B$5,H242,0)</f>
        <v>0</v>
      </c>
      <c r="N242" s="13" t="n">
        <f aca="false">IF(I242&gt;Assumptions!$B$6,H242,0)</f>
        <v>0</v>
      </c>
    </row>
    <row r="243" customFormat="false" ht="15" hidden="false" customHeight="false" outlineLevel="0" collapsed="false">
      <c r="A243" s="22" t="s">
        <v>327</v>
      </c>
      <c r="B243" s="22" t="s">
        <v>44</v>
      </c>
      <c r="C243" s="22" t="s">
        <v>53</v>
      </c>
      <c r="D243" s="23" t="n">
        <v>45532</v>
      </c>
      <c r="E243" s="24" t="n">
        <v>89000</v>
      </c>
      <c r="F243" s="25" t="n">
        <v>0.18</v>
      </c>
      <c r="G243" s="22" t="n">
        <v>6</v>
      </c>
      <c r="H243" s="24" t="n">
        <v>33100</v>
      </c>
      <c r="I243" s="22" t="n">
        <v>0</v>
      </c>
      <c r="J243" s="12" t="str">
        <f aca="false">IF(I243&lt;=0,"Current",IF(I243&lt;=30,"01-30 days",IF(I243&lt;=90,"31-90 days",IF(I243&lt;=180,"91-180 days","180+ days"))))</f>
        <v>Current</v>
      </c>
      <c r="K243" s="14" t="n">
        <f aca="false">INDEX(Assumptions!$B$11:$B$15,MATCH(J243,Assumptions!$A$11:$A$15,0))</f>
        <v>0.01</v>
      </c>
      <c r="L243" s="13" t="n">
        <f aca="false">H243*K243</f>
        <v>331</v>
      </c>
      <c r="M243" s="13" t="n">
        <f aca="false">IF(I243&gt;Assumptions!$B$5,H243,0)</f>
        <v>0</v>
      </c>
      <c r="N243" s="13" t="n">
        <f aca="false">IF(I243&gt;Assumptions!$B$6,H243,0)</f>
        <v>0</v>
      </c>
    </row>
    <row r="244" customFormat="false" ht="15" hidden="false" customHeight="false" outlineLevel="0" collapsed="false">
      <c r="A244" s="22" t="s">
        <v>328</v>
      </c>
      <c r="B244" s="22" t="s">
        <v>46</v>
      </c>
      <c r="C244" s="22" t="s">
        <v>56</v>
      </c>
      <c r="D244" s="23" t="n">
        <v>46161</v>
      </c>
      <c r="E244" s="24" t="n">
        <v>1006000</v>
      </c>
      <c r="F244" s="25" t="n">
        <v>0.16</v>
      </c>
      <c r="G244" s="22" t="n">
        <v>48</v>
      </c>
      <c r="H244" s="24" t="n">
        <v>203800</v>
      </c>
      <c r="I244" s="22" t="n">
        <v>0</v>
      </c>
      <c r="J244" s="12" t="str">
        <f aca="false">IF(I244&lt;=0,"Current",IF(I244&lt;=30,"01-30 days",IF(I244&lt;=90,"31-90 days",IF(I244&lt;=180,"91-180 days","180+ days"))))</f>
        <v>Current</v>
      </c>
      <c r="K244" s="14" t="n">
        <f aca="false">INDEX(Assumptions!$B$11:$B$15,MATCH(J244,Assumptions!$A$11:$A$15,0))</f>
        <v>0.01</v>
      </c>
      <c r="L244" s="13" t="n">
        <f aca="false">H244*K244</f>
        <v>2038</v>
      </c>
      <c r="M244" s="13" t="n">
        <f aca="false">IF(I244&gt;Assumptions!$B$5,H244,0)</f>
        <v>0</v>
      </c>
      <c r="N244" s="13" t="n">
        <f aca="false">IF(I244&gt;Assumptions!$B$6,H244,0)</f>
        <v>0</v>
      </c>
    </row>
    <row r="245" customFormat="false" ht="15" hidden="false" customHeight="false" outlineLevel="0" collapsed="false">
      <c r="A245" s="22" t="s">
        <v>329</v>
      </c>
      <c r="B245" s="22" t="s">
        <v>47</v>
      </c>
      <c r="C245" s="22" t="s">
        <v>56</v>
      </c>
      <c r="D245" s="23" t="n">
        <v>46143</v>
      </c>
      <c r="E245" s="24" t="n">
        <v>361000</v>
      </c>
      <c r="F245" s="25" t="n">
        <v>0.16</v>
      </c>
      <c r="G245" s="22" t="n">
        <v>48</v>
      </c>
      <c r="H245" s="24" t="n">
        <v>241300</v>
      </c>
      <c r="I245" s="22" t="n">
        <v>0</v>
      </c>
      <c r="J245" s="12" t="str">
        <f aca="false">IF(I245&lt;=0,"Current",IF(I245&lt;=30,"01-30 days",IF(I245&lt;=90,"31-90 days",IF(I245&lt;=180,"91-180 days","180+ days"))))</f>
        <v>Current</v>
      </c>
      <c r="K245" s="14" t="n">
        <f aca="false">INDEX(Assumptions!$B$11:$B$15,MATCH(J245,Assumptions!$A$11:$A$15,0))</f>
        <v>0.01</v>
      </c>
      <c r="L245" s="13" t="n">
        <f aca="false">H245*K245</f>
        <v>2413</v>
      </c>
      <c r="M245" s="13" t="n">
        <f aca="false">IF(I245&gt;Assumptions!$B$5,H245,0)</f>
        <v>0</v>
      </c>
      <c r="N245" s="13" t="n">
        <f aca="false">IF(I245&gt;Assumptions!$B$6,H245,0)</f>
        <v>0</v>
      </c>
    </row>
    <row r="246" customFormat="false" ht="15" hidden="false" customHeight="false" outlineLevel="0" collapsed="false">
      <c r="A246" s="22" t="s">
        <v>330</v>
      </c>
      <c r="B246" s="22" t="s">
        <v>47</v>
      </c>
      <c r="C246" s="22" t="s">
        <v>54</v>
      </c>
      <c r="D246" s="23" t="n">
        <v>45612</v>
      </c>
      <c r="E246" s="24" t="n">
        <v>185000</v>
      </c>
      <c r="F246" s="25" t="n">
        <v>0.15</v>
      </c>
      <c r="G246" s="22" t="n">
        <v>24</v>
      </c>
      <c r="H246" s="24" t="n">
        <v>85100</v>
      </c>
      <c r="I246" s="22" t="n">
        <v>0</v>
      </c>
      <c r="J246" s="12" t="str">
        <f aca="false">IF(I246&lt;=0,"Current",IF(I246&lt;=30,"01-30 days",IF(I246&lt;=90,"31-90 days",IF(I246&lt;=180,"91-180 days","180+ days"))))</f>
        <v>Current</v>
      </c>
      <c r="K246" s="14" t="n">
        <f aca="false">INDEX(Assumptions!$B$11:$B$15,MATCH(J246,Assumptions!$A$11:$A$15,0))</f>
        <v>0.01</v>
      </c>
      <c r="L246" s="13" t="n">
        <f aca="false">H246*K246</f>
        <v>851</v>
      </c>
      <c r="M246" s="13" t="n">
        <f aca="false">IF(I246&gt;Assumptions!$B$5,H246,0)</f>
        <v>0</v>
      </c>
      <c r="N246" s="13" t="n">
        <f aca="false">IF(I246&gt;Assumptions!$B$6,H246,0)</f>
        <v>0</v>
      </c>
    </row>
    <row r="247" customFormat="false" ht="15" hidden="false" customHeight="false" outlineLevel="0" collapsed="false">
      <c r="A247" s="22" t="s">
        <v>331</v>
      </c>
      <c r="B247" s="22" t="s">
        <v>48</v>
      </c>
      <c r="C247" s="22" t="s">
        <v>53</v>
      </c>
      <c r="D247" s="23" t="n">
        <v>46136</v>
      </c>
      <c r="E247" s="24" t="n">
        <v>121000</v>
      </c>
      <c r="F247" s="25" t="n">
        <v>0.18</v>
      </c>
      <c r="G247" s="22" t="n">
        <v>6</v>
      </c>
      <c r="H247" s="24" t="n">
        <v>86500</v>
      </c>
      <c r="I247" s="22" t="n">
        <v>0</v>
      </c>
      <c r="J247" s="12" t="str">
        <f aca="false">IF(I247&lt;=0,"Current",IF(I247&lt;=30,"01-30 days",IF(I247&lt;=90,"31-90 days",IF(I247&lt;=180,"91-180 days","180+ days"))))</f>
        <v>Current</v>
      </c>
      <c r="K247" s="14" t="n">
        <f aca="false">INDEX(Assumptions!$B$11:$B$15,MATCH(J247,Assumptions!$A$11:$A$15,0))</f>
        <v>0.01</v>
      </c>
      <c r="L247" s="13" t="n">
        <f aca="false">H247*K247</f>
        <v>865</v>
      </c>
      <c r="M247" s="13" t="n">
        <f aca="false">IF(I247&gt;Assumptions!$B$5,H247,0)</f>
        <v>0</v>
      </c>
      <c r="N247" s="13" t="n">
        <f aca="false">IF(I247&gt;Assumptions!$B$6,H247,0)</f>
        <v>0</v>
      </c>
    </row>
    <row r="248" customFormat="false" ht="15" hidden="false" customHeight="false" outlineLevel="0" collapsed="false">
      <c r="A248" s="22" t="s">
        <v>332</v>
      </c>
      <c r="B248" s="22" t="s">
        <v>44</v>
      </c>
      <c r="C248" s="22" t="s">
        <v>54</v>
      </c>
      <c r="D248" s="23" t="n">
        <v>45592</v>
      </c>
      <c r="E248" s="24" t="n">
        <v>368000</v>
      </c>
      <c r="F248" s="25" t="n">
        <v>0.15</v>
      </c>
      <c r="G248" s="22" t="n">
        <v>24</v>
      </c>
      <c r="H248" s="24" t="n">
        <v>263800</v>
      </c>
      <c r="I248" s="22" t="n">
        <v>0</v>
      </c>
      <c r="J248" s="12" t="str">
        <f aca="false">IF(I248&lt;=0,"Current",IF(I248&lt;=30,"01-30 days",IF(I248&lt;=90,"31-90 days",IF(I248&lt;=180,"91-180 days","180+ days"))))</f>
        <v>Current</v>
      </c>
      <c r="K248" s="14" t="n">
        <f aca="false">INDEX(Assumptions!$B$11:$B$15,MATCH(J248,Assumptions!$A$11:$A$15,0))</f>
        <v>0.01</v>
      </c>
      <c r="L248" s="13" t="n">
        <f aca="false">H248*K248</f>
        <v>2638</v>
      </c>
      <c r="M248" s="13" t="n">
        <f aca="false">IF(I248&gt;Assumptions!$B$5,H248,0)</f>
        <v>0</v>
      </c>
      <c r="N248" s="13" t="n">
        <f aca="false">IF(I248&gt;Assumptions!$B$6,H248,0)</f>
        <v>0</v>
      </c>
    </row>
    <row r="249" customFormat="false" ht="15" hidden="false" customHeight="false" outlineLevel="0" collapsed="false">
      <c r="A249" s="22" t="s">
        <v>333</v>
      </c>
      <c r="B249" s="22" t="s">
        <v>45</v>
      </c>
      <c r="C249" s="22" t="s">
        <v>54</v>
      </c>
      <c r="D249" s="23" t="n">
        <v>45534</v>
      </c>
      <c r="E249" s="24" t="n">
        <v>237000</v>
      </c>
      <c r="F249" s="25" t="n">
        <v>0.15</v>
      </c>
      <c r="G249" s="22" t="n">
        <v>24</v>
      </c>
      <c r="H249" s="24" t="n">
        <v>180500</v>
      </c>
      <c r="I249" s="22" t="n">
        <v>0</v>
      </c>
      <c r="J249" s="12" t="str">
        <f aca="false">IF(I249&lt;=0,"Current",IF(I249&lt;=30,"01-30 days",IF(I249&lt;=90,"31-90 days",IF(I249&lt;=180,"91-180 days","180+ days"))))</f>
        <v>Current</v>
      </c>
      <c r="K249" s="14" t="n">
        <f aca="false">INDEX(Assumptions!$B$11:$B$15,MATCH(J249,Assumptions!$A$11:$A$15,0))</f>
        <v>0.01</v>
      </c>
      <c r="L249" s="13" t="n">
        <f aca="false">H249*K249</f>
        <v>1805</v>
      </c>
      <c r="M249" s="13" t="n">
        <f aca="false">IF(I249&gt;Assumptions!$B$5,H249,0)</f>
        <v>0</v>
      </c>
      <c r="N249" s="13" t="n">
        <f aca="false">IF(I249&gt;Assumptions!$B$6,H249,0)</f>
        <v>0</v>
      </c>
    </row>
    <row r="250" customFormat="false" ht="15" hidden="false" customHeight="false" outlineLevel="0" collapsed="false">
      <c r="A250" s="22" t="s">
        <v>334</v>
      </c>
      <c r="B250" s="22" t="s">
        <v>47</v>
      </c>
      <c r="C250" s="22" t="s">
        <v>54</v>
      </c>
      <c r="D250" s="23" t="n">
        <v>46047</v>
      </c>
      <c r="E250" s="24" t="n">
        <v>216000</v>
      </c>
      <c r="F250" s="25" t="n">
        <v>0.15</v>
      </c>
      <c r="G250" s="22" t="n">
        <v>24</v>
      </c>
      <c r="H250" s="24" t="n">
        <v>157600</v>
      </c>
      <c r="I250" s="22" t="n">
        <v>0</v>
      </c>
      <c r="J250" s="12" t="str">
        <f aca="false">IF(I250&lt;=0,"Current",IF(I250&lt;=30,"01-30 days",IF(I250&lt;=90,"31-90 days",IF(I250&lt;=180,"91-180 days","180+ days"))))</f>
        <v>Current</v>
      </c>
      <c r="K250" s="14" t="n">
        <f aca="false">INDEX(Assumptions!$B$11:$B$15,MATCH(J250,Assumptions!$A$11:$A$15,0))</f>
        <v>0.01</v>
      </c>
      <c r="L250" s="13" t="n">
        <f aca="false">H250*K250</f>
        <v>1576</v>
      </c>
      <c r="M250" s="13" t="n">
        <f aca="false">IF(I250&gt;Assumptions!$B$5,H250,0)</f>
        <v>0</v>
      </c>
      <c r="N250" s="13" t="n">
        <f aca="false">IF(I250&gt;Assumptions!$B$6,H250,0)</f>
        <v>0</v>
      </c>
    </row>
    <row r="251" customFormat="false" ht="15" hidden="false" customHeight="false" outlineLevel="0" collapsed="false">
      <c r="A251" s="22" t="s">
        <v>335</v>
      </c>
      <c r="B251" s="22" t="s">
        <v>44</v>
      </c>
      <c r="C251" s="22" t="s">
        <v>52</v>
      </c>
      <c r="D251" s="23" t="n">
        <v>45609</v>
      </c>
      <c r="E251" s="24" t="n">
        <v>170000</v>
      </c>
      <c r="F251" s="25" t="n">
        <v>0.14</v>
      </c>
      <c r="G251" s="22" t="n">
        <v>36</v>
      </c>
      <c r="H251" s="24" t="n">
        <v>138300</v>
      </c>
      <c r="I251" s="22" t="n">
        <v>0</v>
      </c>
      <c r="J251" s="12" t="str">
        <f aca="false">IF(I251&lt;=0,"Current",IF(I251&lt;=30,"01-30 days",IF(I251&lt;=90,"31-90 days",IF(I251&lt;=180,"91-180 days","180+ days"))))</f>
        <v>Current</v>
      </c>
      <c r="K251" s="14" t="n">
        <f aca="false">INDEX(Assumptions!$B$11:$B$15,MATCH(J251,Assumptions!$A$11:$A$15,0))</f>
        <v>0.01</v>
      </c>
      <c r="L251" s="13" t="n">
        <f aca="false">H251*K251</f>
        <v>1383</v>
      </c>
      <c r="M251" s="13" t="n">
        <f aca="false">IF(I251&gt;Assumptions!$B$5,H251,0)</f>
        <v>0</v>
      </c>
      <c r="N251" s="13" t="n">
        <f aca="false">IF(I251&gt;Assumptions!$B$6,H251,0)</f>
        <v>0</v>
      </c>
    </row>
    <row r="252" customFormat="false" ht="15" hidden="false" customHeight="false" outlineLevel="0" collapsed="false">
      <c r="A252" s="22" t="s">
        <v>336</v>
      </c>
      <c r="B252" s="22" t="s">
        <v>44</v>
      </c>
      <c r="C252" s="22" t="s">
        <v>55</v>
      </c>
      <c r="D252" s="23" t="n">
        <v>45458</v>
      </c>
      <c r="E252" s="24" t="n">
        <v>161000</v>
      </c>
      <c r="F252" s="25" t="n">
        <v>0.12</v>
      </c>
      <c r="G252" s="22" t="n">
        <v>12</v>
      </c>
      <c r="H252" s="24" t="n">
        <v>125400</v>
      </c>
      <c r="I252" s="22" t="n">
        <v>0</v>
      </c>
      <c r="J252" s="12" t="str">
        <f aca="false">IF(I252&lt;=0,"Current",IF(I252&lt;=30,"01-30 days",IF(I252&lt;=90,"31-90 days",IF(I252&lt;=180,"91-180 days","180+ days"))))</f>
        <v>Current</v>
      </c>
      <c r="K252" s="14" t="n">
        <f aca="false">INDEX(Assumptions!$B$11:$B$15,MATCH(J252,Assumptions!$A$11:$A$15,0))</f>
        <v>0.01</v>
      </c>
      <c r="L252" s="13" t="n">
        <f aca="false">H252*K252</f>
        <v>1254</v>
      </c>
      <c r="M252" s="13" t="n">
        <f aca="false">IF(I252&gt;Assumptions!$B$5,H252,0)</f>
        <v>0</v>
      </c>
      <c r="N252" s="13" t="n">
        <f aca="false">IF(I252&gt;Assumptions!$B$6,H252,0)</f>
        <v>0</v>
      </c>
    </row>
    <row r="253" customFormat="false" ht="15" hidden="false" customHeight="false" outlineLevel="0" collapsed="false">
      <c r="A253" s="22" t="s">
        <v>337</v>
      </c>
      <c r="B253" s="22" t="s">
        <v>47</v>
      </c>
      <c r="C253" s="22" t="s">
        <v>55</v>
      </c>
      <c r="D253" s="23" t="n">
        <v>45811</v>
      </c>
      <c r="E253" s="24" t="n">
        <v>153000</v>
      </c>
      <c r="F253" s="25" t="n">
        <v>0.12</v>
      </c>
      <c r="G253" s="22" t="n">
        <v>12</v>
      </c>
      <c r="H253" s="24" t="n">
        <v>36700</v>
      </c>
      <c r="I253" s="22" t="n">
        <v>0</v>
      </c>
      <c r="J253" s="12" t="str">
        <f aca="false">IF(I253&lt;=0,"Current",IF(I253&lt;=30,"01-30 days",IF(I253&lt;=90,"31-90 days",IF(I253&lt;=180,"91-180 days","180+ days"))))</f>
        <v>Current</v>
      </c>
      <c r="K253" s="14" t="n">
        <f aca="false">INDEX(Assumptions!$B$11:$B$15,MATCH(J253,Assumptions!$A$11:$A$15,0))</f>
        <v>0.01</v>
      </c>
      <c r="L253" s="13" t="n">
        <f aca="false">H253*K253</f>
        <v>367</v>
      </c>
      <c r="M253" s="13" t="n">
        <f aca="false">IF(I253&gt;Assumptions!$B$5,H253,0)</f>
        <v>0</v>
      </c>
      <c r="N253" s="13" t="n">
        <f aca="false">IF(I253&gt;Assumptions!$B$6,H253,0)</f>
        <v>0</v>
      </c>
    </row>
    <row r="254" customFormat="false" ht="15" hidden="false" customHeight="false" outlineLevel="0" collapsed="false">
      <c r="A254" s="22" t="s">
        <v>338</v>
      </c>
      <c r="B254" s="22" t="s">
        <v>48</v>
      </c>
      <c r="C254" s="22" t="s">
        <v>55</v>
      </c>
      <c r="D254" s="23" t="n">
        <v>46024</v>
      </c>
      <c r="E254" s="24" t="n">
        <v>94000</v>
      </c>
      <c r="F254" s="25" t="n">
        <v>0.12</v>
      </c>
      <c r="G254" s="22" t="n">
        <v>12</v>
      </c>
      <c r="H254" s="24" t="n">
        <v>69300</v>
      </c>
      <c r="I254" s="22" t="n">
        <v>0</v>
      </c>
      <c r="J254" s="12" t="str">
        <f aca="false">IF(I254&lt;=0,"Current",IF(I254&lt;=30,"01-30 days",IF(I254&lt;=90,"31-90 days",IF(I254&lt;=180,"91-180 days","180+ days"))))</f>
        <v>Current</v>
      </c>
      <c r="K254" s="14" t="n">
        <f aca="false">INDEX(Assumptions!$B$11:$B$15,MATCH(J254,Assumptions!$A$11:$A$15,0))</f>
        <v>0.01</v>
      </c>
      <c r="L254" s="13" t="n">
        <f aca="false">H254*K254</f>
        <v>693</v>
      </c>
      <c r="M254" s="13" t="n">
        <f aca="false">IF(I254&gt;Assumptions!$B$5,H254,0)</f>
        <v>0</v>
      </c>
      <c r="N254" s="13" t="n">
        <f aca="false">IF(I254&gt;Assumptions!$B$6,H254,0)</f>
        <v>0</v>
      </c>
    </row>
    <row r="255" customFormat="false" ht="15" hidden="false" customHeight="false" outlineLevel="0" collapsed="false">
      <c r="A255" s="22" t="s">
        <v>339</v>
      </c>
      <c r="B255" s="22" t="s">
        <v>47</v>
      </c>
      <c r="C255" s="22" t="s">
        <v>53</v>
      </c>
      <c r="D255" s="23" t="n">
        <v>45869</v>
      </c>
      <c r="E255" s="24" t="n">
        <v>105000</v>
      </c>
      <c r="F255" s="25" t="n">
        <v>0.18</v>
      </c>
      <c r="G255" s="22" t="n">
        <v>6</v>
      </c>
      <c r="H255" s="24" t="n">
        <v>88400</v>
      </c>
      <c r="I255" s="22" t="n">
        <v>0</v>
      </c>
      <c r="J255" s="12" t="str">
        <f aca="false">IF(I255&lt;=0,"Current",IF(I255&lt;=30,"01-30 days",IF(I255&lt;=90,"31-90 days",IF(I255&lt;=180,"91-180 days","180+ days"))))</f>
        <v>Current</v>
      </c>
      <c r="K255" s="14" t="n">
        <f aca="false">INDEX(Assumptions!$B$11:$B$15,MATCH(J255,Assumptions!$A$11:$A$15,0))</f>
        <v>0.01</v>
      </c>
      <c r="L255" s="13" t="n">
        <f aca="false">H255*K255</f>
        <v>884</v>
      </c>
      <c r="M255" s="13" t="n">
        <f aca="false">IF(I255&gt;Assumptions!$B$5,H255,0)</f>
        <v>0</v>
      </c>
      <c r="N255" s="13" t="n">
        <f aca="false">IF(I255&gt;Assumptions!$B$6,H255,0)</f>
        <v>0</v>
      </c>
    </row>
    <row r="256" customFormat="false" ht="15" hidden="false" customHeight="false" outlineLevel="0" collapsed="false">
      <c r="A256" s="22" t="s">
        <v>340</v>
      </c>
      <c r="B256" s="22" t="s">
        <v>48</v>
      </c>
      <c r="C256" s="22" t="s">
        <v>56</v>
      </c>
      <c r="D256" s="23" t="n">
        <v>45497</v>
      </c>
      <c r="E256" s="24" t="n">
        <v>1061000</v>
      </c>
      <c r="F256" s="25" t="n">
        <v>0.16</v>
      </c>
      <c r="G256" s="22" t="n">
        <v>48</v>
      </c>
      <c r="H256" s="24" t="n">
        <v>722500</v>
      </c>
      <c r="I256" s="22" t="n">
        <v>24</v>
      </c>
      <c r="J256" s="12" t="str">
        <f aca="false">IF(I256&lt;=0,"Current",IF(I256&lt;=30,"01-30 days",IF(I256&lt;=90,"31-90 days",IF(I256&lt;=180,"91-180 days","180+ days"))))</f>
        <v>01-30 days</v>
      </c>
      <c r="K256" s="14" t="n">
        <f aca="false">INDEX(Assumptions!$B$11:$B$15,MATCH(J256,Assumptions!$A$11:$A$15,0))</f>
        <v>0.05</v>
      </c>
      <c r="L256" s="13" t="n">
        <f aca="false">H256*K256</f>
        <v>36125</v>
      </c>
      <c r="M256" s="13" t="n">
        <f aca="false">IF(I256&gt;Assumptions!$B$5,H256,0)</f>
        <v>0</v>
      </c>
      <c r="N256" s="13" t="n">
        <f aca="false">IF(I256&gt;Assumptions!$B$6,H256,0)</f>
        <v>0</v>
      </c>
    </row>
    <row r="257" customFormat="false" ht="15" hidden="false" customHeight="false" outlineLevel="0" collapsed="false">
      <c r="A257" s="22" t="s">
        <v>341</v>
      </c>
      <c r="B257" s="22" t="s">
        <v>45</v>
      </c>
      <c r="C257" s="22" t="s">
        <v>54</v>
      </c>
      <c r="D257" s="23" t="n">
        <v>45775</v>
      </c>
      <c r="E257" s="24" t="n">
        <v>168000</v>
      </c>
      <c r="F257" s="25" t="n">
        <v>0.15</v>
      </c>
      <c r="G257" s="22" t="n">
        <v>24</v>
      </c>
      <c r="H257" s="24" t="n">
        <v>115800</v>
      </c>
      <c r="I257" s="22" t="n">
        <v>0</v>
      </c>
      <c r="J257" s="12" t="str">
        <f aca="false">IF(I257&lt;=0,"Current",IF(I257&lt;=30,"01-30 days",IF(I257&lt;=90,"31-90 days",IF(I257&lt;=180,"91-180 days","180+ days"))))</f>
        <v>Current</v>
      </c>
      <c r="K257" s="14" t="n">
        <f aca="false">INDEX(Assumptions!$B$11:$B$15,MATCH(J257,Assumptions!$A$11:$A$15,0))</f>
        <v>0.01</v>
      </c>
      <c r="L257" s="13" t="n">
        <f aca="false">H257*K257</f>
        <v>1158</v>
      </c>
      <c r="M257" s="13" t="n">
        <f aca="false">IF(I257&gt;Assumptions!$B$5,H257,0)</f>
        <v>0</v>
      </c>
      <c r="N257" s="13" t="n">
        <f aca="false">IF(I257&gt;Assumptions!$B$6,H257,0)</f>
        <v>0</v>
      </c>
    </row>
    <row r="258" customFormat="false" ht="15" hidden="false" customHeight="false" outlineLevel="0" collapsed="false">
      <c r="A258" s="22" t="s">
        <v>342</v>
      </c>
      <c r="B258" s="22" t="s">
        <v>47</v>
      </c>
      <c r="C258" s="22" t="s">
        <v>53</v>
      </c>
      <c r="D258" s="23" t="n">
        <v>45938</v>
      </c>
      <c r="E258" s="24" t="n">
        <v>88000</v>
      </c>
      <c r="F258" s="25" t="n">
        <v>0.18</v>
      </c>
      <c r="G258" s="22" t="n">
        <v>6</v>
      </c>
      <c r="H258" s="24" t="n">
        <v>63000</v>
      </c>
      <c r="I258" s="22" t="n">
        <v>0</v>
      </c>
      <c r="J258" s="12" t="str">
        <f aca="false">IF(I258&lt;=0,"Current",IF(I258&lt;=30,"01-30 days",IF(I258&lt;=90,"31-90 days",IF(I258&lt;=180,"91-180 days","180+ days"))))</f>
        <v>Current</v>
      </c>
      <c r="K258" s="14" t="n">
        <f aca="false">INDEX(Assumptions!$B$11:$B$15,MATCH(J258,Assumptions!$A$11:$A$15,0))</f>
        <v>0.01</v>
      </c>
      <c r="L258" s="13" t="n">
        <f aca="false">H258*K258</f>
        <v>630</v>
      </c>
      <c r="M258" s="13" t="n">
        <f aca="false">IF(I258&gt;Assumptions!$B$5,H258,0)</f>
        <v>0</v>
      </c>
      <c r="N258" s="13" t="n">
        <f aca="false">IF(I258&gt;Assumptions!$B$6,H258,0)</f>
        <v>0</v>
      </c>
    </row>
    <row r="259" customFormat="false" ht="15" hidden="false" customHeight="false" outlineLevel="0" collapsed="false">
      <c r="A259" s="22" t="s">
        <v>343</v>
      </c>
      <c r="B259" s="22" t="s">
        <v>47</v>
      </c>
      <c r="C259" s="22" t="s">
        <v>55</v>
      </c>
      <c r="D259" s="23" t="n">
        <v>46040</v>
      </c>
      <c r="E259" s="24" t="n">
        <v>203000</v>
      </c>
      <c r="F259" s="25" t="n">
        <v>0.12</v>
      </c>
      <c r="G259" s="22" t="n">
        <v>12</v>
      </c>
      <c r="H259" s="24" t="n">
        <v>191100</v>
      </c>
      <c r="I259" s="22" t="n">
        <v>23</v>
      </c>
      <c r="J259" s="12" t="str">
        <f aca="false">IF(I259&lt;=0,"Current",IF(I259&lt;=30,"01-30 days",IF(I259&lt;=90,"31-90 days",IF(I259&lt;=180,"91-180 days","180+ days"))))</f>
        <v>01-30 days</v>
      </c>
      <c r="K259" s="14" t="n">
        <f aca="false">INDEX(Assumptions!$B$11:$B$15,MATCH(J259,Assumptions!$A$11:$A$15,0))</f>
        <v>0.05</v>
      </c>
      <c r="L259" s="13" t="n">
        <f aca="false">H259*K259</f>
        <v>9555</v>
      </c>
      <c r="M259" s="13" t="n">
        <f aca="false">IF(I259&gt;Assumptions!$B$5,H259,0)</f>
        <v>0</v>
      </c>
      <c r="N259" s="13" t="n">
        <f aca="false">IF(I259&gt;Assumptions!$B$6,H259,0)</f>
        <v>0</v>
      </c>
    </row>
    <row r="260" customFormat="false" ht="15" hidden="false" customHeight="false" outlineLevel="0" collapsed="false">
      <c r="A260" s="22" t="s">
        <v>344</v>
      </c>
      <c r="B260" s="22" t="s">
        <v>46</v>
      </c>
      <c r="C260" s="22" t="s">
        <v>52</v>
      </c>
      <c r="D260" s="23" t="n">
        <v>45608</v>
      </c>
      <c r="E260" s="24" t="n">
        <v>514000</v>
      </c>
      <c r="F260" s="25" t="n">
        <v>0.14</v>
      </c>
      <c r="G260" s="22" t="n">
        <v>36</v>
      </c>
      <c r="H260" s="24" t="n">
        <v>230000</v>
      </c>
      <c r="I260" s="22" t="n">
        <v>18</v>
      </c>
      <c r="J260" s="12" t="str">
        <f aca="false">IF(I260&lt;=0,"Current",IF(I260&lt;=30,"01-30 days",IF(I260&lt;=90,"31-90 days",IF(I260&lt;=180,"91-180 days","180+ days"))))</f>
        <v>01-30 days</v>
      </c>
      <c r="K260" s="14" t="n">
        <f aca="false">INDEX(Assumptions!$B$11:$B$15,MATCH(J260,Assumptions!$A$11:$A$15,0))</f>
        <v>0.05</v>
      </c>
      <c r="L260" s="13" t="n">
        <f aca="false">H260*K260</f>
        <v>11500</v>
      </c>
      <c r="M260" s="13" t="n">
        <f aca="false">IF(I260&gt;Assumptions!$B$5,H260,0)</f>
        <v>0</v>
      </c>
      <c r="N260" s="13" t="n">
        <f aca="false">IF(I260&gt;Assumptions!$B$6,H260,0)</f>
        <v>0</v>
      </c>
    </row>
    <row r="261" customFormat="false" ht="15" hidden="false" customHeight="false" outlineLevel="0" collapsed="false">
      <c r="A261" s="22" t="s">
        <v>345</v>
      </c>
      <c r="B261" s="22" t="s">
        <v>46</v>
      </c>
      <c r="C261" s="22" t="s">
        <v>54</v>
      </c>
      <c r="D261" s="23" t="n">
        <v>46075</v>
      </c>
      <c r="E261" s="24" t="n">
        <v>164000</v>
      </c>
      <c r="F261" s="25" t="n">
        <v>0.15</v>
      </c>
      <c r="G261" s="22" t="n">
        <v>24</v>
      </c>
      <c r="H261" s="24" t="n">
        <v>81000</v>
      </c>
      <c r="I261" s="22" t="n">
        <v>0</v>
      </c>
      <c r="J261" s="12" t="str">
        <f aca="false">IF(I261&lt;=0,"Current",IF(I261&lt;=30,"01-30 days",IF(I261&lt;=90,"31-90 days",IF(I261&lt;=180,"91-180 days","180+ days"))))</f>
        <v>Current</v>
      </c>
      <c r="K261" s="14" t="n">
        <f aca="false">INDEX(Assumptions!$B$11:$B$15,MATCH(J261,Assumptions!$A$11:$A$15,0))</f>
        <v>0.01</v>
      </c>
      <c r="L261" s="13" t="n">
        <f aca="false">H261*K261</f>
        <v>810</v>
      </c>
      <c r="M261" s="13" t="n">
        <f aca="false">IF(I261&gt;Assumptions!$B$5,H261,0)</f>
        <v>0</v>
      </c>
      <c r="N261" s="13" t="n">
        <f aca="false">IF(I261&gt;Assumptions!$B$6,H261,0)</f>
        <v>0</v>
      </c>
    </row>
    <row r="262" customFormat="false" ht="15" hidden="false" customHeight="false" outlineLevel="0" collapsed="false">
      <c r="A262" s="22" t="s">
        <v>346</v>
      </c>
      <c r="B262" s="22" t="s">
        <v>44</v>
      </c>
      <c r="C262" s="22" t="s">
        <v>56</v>
      </c>
      <c r="D262" s="23" t="n">
        <v>45581</v>
      </c>
      <c r="E262" s="24" t="n">
        <v>997000</v>
      </c>
      <c r="F262" s="25" t="n">
        <v>0.16</v>
      </c>
      <c r="G262" s="22" t="n">
        <v>48</v>
      </c>
      <c r="H262" s="24" t="n">
        <v>704100</v>
      </c>
      <c r="I262" s="22" t="n">
        <v>0</v>
      </c>
      <c r="J262" s="12" t="str">
        <f aca="false">IF(I262&lt;=0,"Current",IF(I262&lt;=30,"01-30 days",IF(I262&lt;=90,"31-90 days",IF(I262&lt;=180,"91-180 days","180+ days"))))</f>
        <v>Current</v>
      </c>
      <c r="K262" s="14" t="n">
        <f aca="false">INDEX(Assumptions!$B$11:$B$15,MATCH(J262,Assumptions!$A$11:$A$15,0))</f>
        <v>0.01</v>
      </c>
      <c r="L262" s="13" t="n">
        <f aca="false">H262*K262</f>
        <v>7041</v>
      </c>
      <c r="M262" s="13" t="n">
        <f aca="false">IF(I262&gt;Assumptions!$B$5,H262,0)</f>
        <v>0</v>
      </c>
      <c r="N262" s="13" t="n">
        <f aca="false">IF(I262&gt;Assumptions!$B$6,H262,0)</f>
        <v>0</v>
      </c>
    </row>
    <row r="263" customFormat="false" ht="15" hidden="false" customHeight="false" outlineLevel="0" collapsed="false">
      <c r="A263" s="22" t="s">
        <v>347</v>
      </c>
      <c r="B263" s="22" t="s">
        <v>48</v>
      </c>
      <c r="C263" s="22" t="s">
        <v>53</v>
      </c>
      <c r="D263" s="23" t="n">
        <v>45447</v>
      </c>
      <c r="E263" s="24" t="n">
        <v>133000</v>
      </c>
      <c r="F263" s="25" t="n">
        <v>0.18</v>
      </c>
      <c r="G263" s="22" t="n">
        <v>6</v>
      </c>
      <c r="H263" s="24" t="n">
        <v>44100</v>
      </c>
      <c r="I263" s="22" t="n">
        <v>88</v>
      </c>
      <c r="J263" s="12" t="str">
        <f aca="false">IF(I263&lt;=0,"Current",IF(I263&lt;=30,"01-30 days",IF(I263&lt;=90,"31-90 days",IF(I263&lt;=180,"91-180 days","180+ days"))))</f>
        <v>31-90 days</v>
      </c>
      <c r="K263" s="14" t="n">
        <f aca="false">INDEX(Assumptions!$B$11:$B$15,MATCH(J263,Assumptions!$A$11:$A$15,0))</f>
        <v>0.25</v>
      </c>
      <c r="L263" s="13" t="n">
        <f aca="false">H263*K263</f>
        <v>11025</v>
      </c>
      <c r="M263" s="13" t="n">
        <f aca="false">IF(I263&gt;Assumptions!$B$5,H263,0)</f>
        <v>44100</v>
      </c>
      <c r="N263" s="13" t="n">
        <f aca="false">IF(I263&gt;Assumptions!$B$6,H263,0)</f>
        <v>0</v>
      </c>
    </row>
    <row r="264" customFormat="false" ht="15" hidden="false" customHeight="false" outlineLevel="0" collapsed="false">
      <c r="A264" s="22" t="s">
        <v>348</v>
      </c>
      <c r="B264" s="22" t="s">
        <v>45</v>
      </c>
      <c r="C264" s="22" t="s">
        <v>52</v>
      </c>
      <c r="D264" s="23" t="n">
        <v>45932</v>
      </c>
      <c r="E264" s="24" t="n">
        <v>376000</v>
      </c>
      <c r="F264" s="25" t="n">
        <v>0.14</v>
      </c>
      <c r="G264" s="22" t="n">
        <v>36</v>
      </c>
      <c r="H264" s="24" t="n">
        <v>234800</v>
      </c>
      <c r="I264" s="22" t="n">
        <v>0</v>
      </c>
      <c r="J264" s="12" t="str">
        <f aca="false">IF(I264&lt;=0,"Current",IF(I264&lt;=30,"01-30 days",IF(I264&lt;=90,"31-90 days",IF(I264&lt;=180,"91-180 days","180+ days"))))</f>
        <v>Current</v>
      </c>
      <c r="K264" s="14" t="n">
        <f aca="false">INDEX(Assumptions!$B$11:$B$15,MATCH(J264,Assumptions!$A$11:$A$15,0))</f>
        <v>0.01</v>
      </c>
      <c r="L264" s="13" t="n">
        <f aca="false">H264*K264</f>
        <v>2348</v>
      </c>
      <c r="M264" s="13" t="n">
        <f aca="false">IF(I264&gt;Assumptions!$B$5,H264,0)</f>
        <v>0</v>
      </c>
      <c r="N264" s="13" t="n">
        <f aca="false">IF(I264&gt;Assumptions!$B$6,H264,0)</f>
        <v>0</v>
      </c>
    </row>
    <row r="265" customFormat="false" ht="15" hidden="false" customHeight="false" outlineLevel="0" collapsed="false">
      <c r="A265" s="22" t="s">
        <v>349</v>
      </c>
      <c r="B265" s="22" t="s">
        <v>46</v>
      </c>
      <c r="C265" s="22" t="s">
        <v>54</v>
      </c>
      <c r="D265" s="23" t="n">
        <v>45299</v>
      </c>
      <c r="E265" s="24" t="n">
        <v>166000</v>
      </c>
      <c r="F265" s="25" t="n">
        <v>0.15</v>
      </c>
      <c r="G265" s="22" t="n">
        <v>24</v>
      </c>
      <c r="H265" s="24" t="n">
        <v>43300</v>
      </c>
      <c r="I265" s="22" t="n">
        <v>18</v>
      </c>
      <c r="J265" s="12" t="str">
        <f aca="false">IF(I265&lt;=0,"Current",IF(I265&lt;=30,"01-30 days",IF(I265&lt;=90,"31-90 days",IF(I265&lt;=180,"91-180 days","180+ days"))))</f>
        <v>01-30 days</v>
      </c>
      <c r="K265" s="14" t="n">
        <f aca="false">INDEX(Assumptions!$B$11:$B$15,MATCH(J265,Assumptions!$A$11:$A$15,0))</f>
        <v>0.05</v>
      </c>
      <c r="L265" s="13" t="n">
        <f aca="false">H265*K265</f>
        <v>2165</v>
      </c>
      <c r="M265" s="13" t="n">
        <f aca="false">IF(I265&gt;Assumptions!$B$5,H265,0)</f>
        <v>0</v>
      </c>
      <c r="N265" s="13" t="n">
        <f aca="false">IF(I265&gt;Assumptions!$B$6,H265,0)</f>
        <v>0</v>
      </c>
    </row>
    <row r="266" customFormat="false" ht="15" hidden="false" customHeight="false" outlineLevel="0" collapsed="false">
      <c r="A266" s="22" t="s">
        <v>350</v>
      </c>
      <c r="B266" s="22" t="s">
        <v>49</v>
      </c>
      <c r="C266" s="22" t="s">
        <v>54</v>
      </c>
      <c r="D266" s="23" t="n">
        <v>45716</v>
      </c>
      <c r="E266" s="24" t="n">
        <v>393000</v>
      </c>
      <c r="F266" s="25" t="n">
        <v>0.15</v>
      </c>
      <c r="G266" s="22" t="n">
        <v>24</v>
      </c>
      <c r="H266" s="24" t="n">
        <v>101700</v>
      </c>
      <c r="I266" s="22" t="n">
        <v>39</v>
      </c>
      <c r="J266" s="12" t="str">
        <f aca="false">IF(I266&lt;=0,"Current",IF(I266&lt;=30,"01-30 days",IF(I266&lt;=90,"31-90 days",IF(I266&lt;=180,"91-180 days","180+ days"))))</f>
        <v>31-90 days</v>
      </c>
      <c r="K266" s="14" t="n">
        <f aca="false">INDEX(Assumptions!$B$11:$B$15,MATCH(J266,Assumptions!$A$11:$A$15,0))</f>
        <v>0.25</v>
      </c>
      <c r="L266" s="13" t="n">
        <f aca="false">H266*K266</f>
        <v>25425</v>
      </c>
      <c r="M266" s="13" t="n">
        <f aca="false">IF(I266&gt;Assumptions!$B$5,H266,0)</f>
        <v>101700</v>
      </c>
      <c r="N266" s="13" t="n">
        <f aca="false">IF(I266&gt;Assumptions!$B$6,H266,0)</f>
        <v>0</v>
      </c>
    </row>
    <row r="267" customFormat="false" ht="15" hidden="false" customHeight="false" outlineLevel="0" collapsed="false">
      <c r="A267" s="22" t="s">
        <v>351</v>
      </c>
      <c r="B267" s="22" t="s">
        <v>45</v>
      </c>
      <c r="C267" s="22" t="s">
        <v>56</v>
      </c>
      <c r="D267" s="23" t="n">
        <v>45923</v>
      </c>
      <c r="E267" s="24" t="n">
        <v>1010000</v>
      </c>
      <c r="F267" s="25" t="n">
        <v>0.16</v>
      </c>
      <c r="G267" s="22" t="n">
        <v>48</v>
      </c>
      <c r="H267" s="24" t="n">
        <v>624200</v>
      </c>
      <c r="I267" s="22" t="n">
        <v>0</v>
      </c>
      <c r="J267" s="12" t="str">
        <f aca="false">IF(I267&lt;=0,"Current",IF(I267&lt;=30,"01-30 days",IF(I267&lt;=90,"31-90 days",IF(I267&lt;=180,"91-180 days","180+ days"))))</f>
        <v>Current</v>
      </c>
      <c r="K267" s="14" t="n">
        <f aca="false">INDEX(Assumptions!$B$11:$B$15,MATCH(J267,Assumptions!$A$11:$A$15,0))</f>
        <v>0.01</v>
      </c>
      <c r="L267" s="13" t="n">
        <f aca="false">H267*K267</f>
        <v>6242</v>
      </c>
      <c r="M267" s="13" t="n">
        <f aca="false">IF(I267&gt;Assumptions!$B$5,H267,0)</f>
        <v>0</v>
      </c>
      <c r="N267" s="13" t="n">
        <f aca="false">IF(I267&gt;Assumptions!$B$6,H267,0)</f>
        <v>0</v>
      </c>
    </row>
    <row r="268" customFormat="false" ht="15" hidden="false" customHeight="false" outlineLevel="0" collapsed="false">
      <c r="A268" s="22" t="s">
        <v>352</v>
      </c>
      <c r="B268" s="22" t="s">
        <v>47</v>
      </c>
      <c r="C268" s="22" t="s">
        <v>56</v>
      </c>
      <c r="D268" s="23" t="n">
        <v>46177</v>
      </c>
      <c r="E268" s="24" t="n">
        <v>716000</v>
      </c>
      <c r="F268" s="25" t="n">
        <v>0.16</v>
      </c>
      <c r="G268" s="22" t="n">
        <v>48</v>
      </c>
      <c r="H268" s="24" t="n">
        <v>292000</v>
      </c>
      <c r="I268" s="22" t="n">
        <v>0</v>
      </c>
      <c r="J268" s="12" t="str">
        <f aca="false">IF(I268&lt;=0,"Current",IF(I268&lt;=30,"01-30 days",IF(I268&lt;=90,"31-90 days",IF(I268&lt;=180,"91-180 days","180+ days"))))</f>
        <v>Current</v>
      </c>
      <c r="K268" s="14" t="n">
        <f aca="false">INDEX(Assumptions!$B$11:$B$15,MATCH(J268,Assumptions!$A$11:$A$15,0))</f>
        <v>0.01</v>
      </c>
      <c r="L268" s="13" t="n">
        <f aca="false">H268*K268</f>
        <v>2920</v>
      </c>
      <c r="M268" s="13" t="n">
        <f aca="false">IF(I268&gt;Assumptions!$B$5,H268,0)</f>
        <v>0</v>
      </c>
      <c r="N268" s="13" t="n">
        <f aca="false">IF(I268&gt;Assumptions!$B$6,H268,0)</f>
        <v>0</v>
      </c>
    </row>
    <row r="269" customFormat="false" ht="15" hidden="false" customHeight="false" outlineLevel="0" collapsed="false">
      <c r="A269" s="22" t="s">
        <v>353</v>
      </c>
      <c r="B269" s="22" t="s">
        <v>45</v>
      </c>
      <c r="C269" s="22" t="s">
        <v>55</v>
      </c>
      <c r="D269" s="23" t="n">
        <v>45472</v>
      </c>
      <c r="E269" s="24" t="n">
        <v>176000</v>
      </c>
      <c r="F269" s="25" t="n">
        <v>0.12</v>
      </c>
      <c r="G269" s="22" t="n">
        <v>12</v>
      </c>
      <c r="H269" s="24" t="n">
        <v>145300</v>
      </c>
      <c r="I269" s="22" t="n">
        <v>0</v>
      </c>
      <c r="J269" s="12" t="str">
        <f aca="false">IF(I269&lt;=0,"Current",IF(I269&lt;=30,"01-30 days",IF(I269&lt;=90,"31-90 days",IF(I269&lt;=180,"91-180 days","180+ days"))))</f>
        <v>Current</v>
      </c>
      <c r="K269" s="14" t="n">
        <f aca="false">INDEX(Assumptions!$B$11:$B$15,MATCH(J269,Assumptions!$A$11:$A$15,0))</f>
        <v>0.01</v>
      </c>
      <c r="L269" s="13" t="n">
        <f aca="false">H269*K269</f>
        <v>1453</v>
      </c>
      <c r="M269" s="13" t="n">
        <f aca="false">IF(I269&gt;Assumptions!$B$5,H269,0)</f>
        <v>0</v>
      </c>
      <c r="N269" s="13" t="n">
        <f aca="false">IF(I269&gt;Assumptions!$B$6,H269,0)</f>
        <v>0</v>
      </c>
    </row>
    <row r="270" customFormat="false" ht="15" hidden="false" customHeight="false" outlineLevel="0" collapsed="false">
      <c r="A270" s="22" t="s">
        <v>354</v>
      </c>
      <c r="B270" s="22" t="s">
        <v>48</v>
      </c>
      <c r="C270" s="22" t="s">
        <v>53</v>
      </c>
      <c r="D270" s="23" t="n">
        <v>45316</v>
      </c>
      <c r="E270" s="24" t="n">
        <v>50000</v>
      </c>
      <c r="F270" s="25" t="n">
        <v>0.18</v>
      </c>
      <c r="G270" s="22" t="n">
        <v>6</v>
      </c>
      <c r="H270" s="24" t="n">
        <v>35300</v>
      </c>
      <c r="I270" s="22" t="n">
        <v>0</v>
      </c>
      <c r="J270" s="12" t="str">
        <f aca="false">IF(I270&lt;=0,"Current",IF(I270&lt;=30,"01-30 days",IF(I270&lt;=90,"31-90 days",IF(I270&lt;=180,"91-180 days","180+ days"))))</f>
        <v>Current</v>
      </c>
      <c r="K270" s="14" t="n">
        <f aca="false">INDEX(Assumptions!$B$11:$B$15,MATCH(J270,Assumptions!$A$11:$A$15,0))</f>
        <v>0.01</v>
      </c>
      <c r="L270" s="13" t="n">
        <f aca="false">H270*K270</f>
        <v>353</v>
      </c>
      <c r="M270" s="13" t="n">
        <f aca="false">IF(I270&gt;Assumptions!$B$5,H270,0)</f>
        <v>0</v>
      </c>
      <c r="N270" s="13" t="n">
        <f aca="false">IF(I270&gt;Assumptions!$B$6,H270,0)</f>
        <v>0</v>
      </c>
    </row>
    <row r="271" customFormat="false" ht="15" hidden="false" customHeight="false" outlineLevel="0" collapsed="false">
      <c r="A271" s="22" t="s">
        <v>355</v>
      </c>
      <c r="B271" s="22" t="s">
        <v>48</v>
      </c>
      <c r="C271" s="22" t="s">
        <v>54</v>
      </c>
      <c r="D271" s="23" t="n">
        <v>45563</v>
      </c>
      <c r="E271" s="24" t="n">
        <v>82000</v>
      </c>
      <c r="F271" s="25" t="n">
        <v>0.15</v>
      </c>
      <c r="G271" s="22" t="n">
        <v>24</v>
      </c>
      <c r="H271" s="24" t="n">
        <v>48000</v>
      </c>
      <c r="I271" s="22" t="n">
        <v>137</v>
      </c>
      <c r="J271" s="12" t="str">
        <f aca="false">IF(I271&lt;=0,"Current",IF(I271&lt;=30,"01-30 days",IF(I271&lt;=90,"31-90 days",IF(I271&lt;=180,"91-180 days","180+ days"))))</f>
        <v>91-180 days</v>
      </c>
      <c r="K271" s="14" t="n">
        <f aca="false">INDEX(Assumptions!$B$11:$B$15,MATCH(J271,Assumptions!$A$11:$A$15,0))</f>
        <v>0.5</v>
      </c>
      <c r="L271" s="13" t="n">
        <f aca="false">H271*K271</f>
        <v>24000</v>
      </c>
      <c r="M271" s="13" t="n">
        <f aca="false">IF(I271&gt;Assumptions!$B$5,H271,0)</f>
        <v>48000</v>
      </c>
      <c r="N271" s="13" t="n">
        <f aca="false">IF(I271&gt;Assumptions!$B$6,H271,0)</f>
        <v>48000</v>
      </c>
    </row>
    <row r="272" customFormat="false" ht="15" hidden="false" customHeight="false" outlineLevel="0" collapsed="false">
      <c r="A272" s="22" t="s">
        <v>356</v>
      </c>
      <c r="B272" s="22" t="s">
        <v>48</v>
      </c>
      <c r="C272" s="22" t="s">
        <v>55</v>
      </c>
      <c r="D272" s="23" t="n">
        <v>45973</v>
      </c>
      <c r="E272" s="24" t="n">
        <v>132000</v>
      </c>
      <c r="F272" s="25" t="n">
        <v>0.12</v>
      </c>
      <c r="G272" s="22" t="n">
        <v>12</v>
      </c>
      <c r="H272" s="24" t="n">
        <v>56900</v>
      </c>
      <c r="I272" s="22" t="n">
        <v>0</v>
      </c>
      <c r="J272" s="12" t="str">
        <f aca="false">IF(I272&lt;=0,"Current",IF(I272&lt;=30,"01-30 days",IF(I272&lt;=90,"31-90 days",IF(I272&lt;=180,"91-180 days","180+ days"))))</f>
        <v>Current</v>
      </c>
      <c r="K272" s="14" t="n">
        <f aca="false">INDEX(Assumptions!$B$11:$B$15,MATCH(J272,Assumptions!$A$11:$A$15,0))</f>
        <v>0.01</v>
      </c>
      <c r="L272" s="13" t="n">
        <f aca="false">H272*K272</f>
        <v>569</v>
      </c>
      <c r="M272" s="13" t="n">
        <f aca="false">IF(I272&gt;Assumptions!$B$5,H272,0)</f>
        <v>0</v>
      </c>
      <c r="N272" s="13" t="n">
        <f aca="false">IF(I272&gt;Assumptions!$B$6,H272,0)</f>
        <v>0</v>
      </c>
    </row>
    <row r="273" customFormat="false" ht="15" hidden="false" customHeight="false" outlineLevel="0" collapsed="false">
      <c r="A273" s="22" t="s">
        <v>357</v>
      </c>
      <c r="B273" s="22" t="s">
        <v>48</v>
      </c>
      <c r="C273" s="22" t="s">
        <v>52</v>
      </c>
      <c r="D273" s="23" t="n">
        <v>45548</v>
      </c>
      <c r="E273" s="24" t="n">
        <v>593000</v>
      </c>
      <c r="F273" s="25" t="n">
        <v>0.14</v>
      </c>
      <c r="G273" s="22" t="n">
        <v>36</v>
      </c>
      <c r="H273" s="24" t="n">
        <v>297500</v>
      </c>
      <c r="I273" s="22" t="n">
        <v>0</v>
      </c>
      <c r="J273" s="12" t="str">
        <f aca="false">IF(I273&lt;=0,"Current",IF(I273&lt;=30,"01-30 days",IF(I273&lt;=90,"31-90 days",IF(I273&lt;=180,"91-180 days","180+ days"))))</f>
        <v>Current</v>
      </c>
      <c r="K273" s="14" t="n">
        <f aca="false">INDEX(Assumptions!$B$11:$B$15,MATCH(J273,Assumptions!$A$11:$A$15,0))</f>
        <v>0.01</v>
      </c>
      <c r="L273" s="13" t="n">
        <f aca="false">H273*K273</f>
        <v>2975</v>
      </c>
      <c r="M273" s="13" t="n">
        <f aca="false">IF(I273&gt;Assumptions!$B$5,H273,0)</f>
        <v>0</v>
      </c>
      <c r="N273" s="13" t="n">
        <f aca="false">IF(I273&gt;Assumptions!$B$6,H273,0)</f>
        <v>0</v>
      </c>
    </row>
    <row r="274" customFormat="false" ht="15" hidden="false" customHeight="false" outlineLevel="0" collapsed="false">
      <c r="A274" s="22" t="s">
        <v>358</v>
      </c>
      <c r="B274" s="22" t="s">
        <v>49</v>
      </c>
      <c r="C274" s="22" t="s">
        <v>56</v>
      </c>
      <c r="D274" s="23" t="n">
        <v>45623</v>
      </c>
      <c r="E274" s="24" t="n">
        <v>248000</v>
      </c>
      <c r="F274" s="25" t="n">
        <v>0.16</v>
      </c>
      <c r="G274" s="22" t="n">
        <v>48</v>
      </c>
      <c r="H274" s="24" t="n">
        <v>51400</v>
      </c>
      <c r="I274" s="22" t="n">
        <v>0</v>
      </c>
      <c r="J274" s="12" t="str">
        <f aca="false">IF(I274&lt;=0,"Current",IF(I274&lt;=30,"01-30 days",IF(I274&lt;=90,"31-90 days",IF(I274&lt;=180,"91-180 days","180+ days"))))</f>
        <v>Current</v>
      </c>
      <c r="K274" s="14" t="n">
        <f aca="false">INDEX(Assumptions!$B$11:$B$15,MATCH(J274,Assumptions!$A$11:$A$15,0))</f>
        <v>0.01</v>
      </c>
      <c r="L274" s="13" t="n">
        <f aca="false">H274*K274</f>
        <v>514</v>
      </c>
      <c r="M274" s="13" t="n">
        <f aca="false">IF(I274&gt;Assumptions!$B$5,H274,0)</f>
        <v>0</v>
      </c>
      <c r="N274" s="13" t="n">
        <f aca="false">IF(I274&gt;Assumptions!$B$6,H274,0)</f>
        <v>0</v>
      </c>
    </row>
    <row r="275" customFormat="false" ht="15" hidden="false" customHeight="false" outlineLevel="0" collapsed="false">
      <c r="A275" s="22" t="s">
        <v>359</v>
      </c>
      <c r="B275" s="22" t="s">
        <v>45</v>
      </c>
      <c r="C275" s="22" t="s">
        <v>54</v>
      </c>
      <c r="D275" s="23" t="n">
        <v>45665</v>
      </c>
      <c r="E275" s="24" t="n">
        <v>309000</v>
      </c>
      <c r="F275" s="25" t="n">
        <v>0.15</v>
      </c>
      <c r="G275" s="22" t="n">
        <v>24</v>
      </c>
      <c r="H275" s="24" t="n">
        <v>214100</v>
      </c>
      <c r="I275" s="22" t="n">
        <v>0</v>
      </c>
      <c r="J275" s="12" t="str">
        <f aca="false">IF(I275&lt;=0,"Current",IF(I275&lt;=30,"01-30 days",IF(I275&lt;=90,"31-90 days",IF(I275&lt;=180,"91-180 days","180+ days"))))</f>
        <v>Current</v>
      </c>
      <c r="K275" s="14" t="n">
        <f aca="false">INDEX(Assumptions!$B$11:$B$15,MATCH(J275,Assumptions!$A$11:$A$15,0))</f>
        <v>0.01</v>
      </c>
      <c r="L275" s="13" t="n">
        <f aca="false">H275*K275</f>
        <v>2141</v>
      </c>
      <c r="M275" s="13" t="n">
        <f aca="false">IF(I275&gt;Assumptions!$B$5,H275,0)</f>
        <v>0</v>
      </c>
      <c r="N275" s="13" t="n">
        <f aca="false">IF(I275&gt;Assumptions!$B$6,H275,0)</f>
        <v>0</v>
      </c>
    </row>
    <row r="276" customFormat="false" ht="15" hidden="false" customHeight="false" outlineLevel="0" collapsed="false">
      <c r="A276" s="22" t="s">
        <v>360</v>
      </c>
      <c r="B276" s="22" t="s">
        <v>47</v>
      </c>
      <c r="C276" s="22" t="s">
        <v>55</v>
      </c>
      <c r="D276" s="23" t="n">
        <v>45510</v>
      </c>
      <c r="E276" s="24" t="n">
        <v>120000</v>
      </c>
      <c r="F276" s="25" t="n">
        <v>0.12</v>
      </c>
      <c r="G276" s="22" t="n">
        <v>12</v>
      </c>
      <c r="H276" s="24" t="n">
        <v>52100</v>
      </c>
      <c r="I276" s="22" t="n">
        <v>21</v>
      </c>
      <c r="J276" s="12" t="str">
        <f aca="false">IF(I276&lt;=0,"Current",IF(I276&lt;=30,"01-30 days",IF(I276&lt;=90,"31-90 days",IF(I276&lt;=180,"91-180 days","180+ days"))))</f>
        <v>01-30 days</v>
      </c>
      <c r="K276" s="14" t="n">
        <f aca="false">INDEX(Assumptions!$B$11:$B$15,MATCH(J276,Assumptions!$A$11:$A$15,0))</f>
        <v>0.05</v>
      </c>
      <c r="L276" s="13" t="n">
        <f aca="false">H276*K276</f>
        <v>2605</v>
      </c>
      <c r="M276" s="13" t="n">
        <f aca="false">IF(I276&gt;Assumptions!$B$5,H276,0)</f>
        <v>0</v>
      </c>
      <c r="N276" s="13" t="n">
        <f aca="false">IF(I276&gt;Assumptions!$B$6,H276,0)</f>
        <v>0</v>
      </c>
    </row>
    <row r="277" customFormat="false" ht="15" hidden="false" customHeight="false" outlineLevel="0" collapsed="false">
      <c r="A277" s="22" t="s">
        <v>361</v>
      </c>
      <c r="B277" s="22" t="s">
        <v>48</v>
      </c>
      <c r="C277" s="22" t="s">
        <v>53</v>
      </c>
      <c r="D277" s="23" t="n">
        <v>45988</v>
      </c>
      <c r="E277" s="24" t="n">
        <v>32000</v>
      </c>
      <c r="F277" s="25" t="n">
        <v>0.18</v>
      </c>
      <c r="G277" s="22" t="n">
        <v>6</v>
      </c>
      <c r="H277" s="24" t="n">
        <v>24200</v>
      </c>
      <c r="I277" s="22" t="n">
        <v>0</v>
      </c>
      <c r="J277" s="12" t="str">
        <f aca="false">IF(I277&lt;=0,"Current",IF(I277&lt;=30,"01-30 days",IF(I277&lt;=90,"31-90 days",IF(I277&lt;=180,"91-180 days","180+ days"))))</f>
        <v>Current</v>
      </c>
      <c r="K277" s="14" t="n">
        <f aca="false">INDEX(Assumptions!$B$11:$B$15,MATCH(J277,Assumptions!$A$11:$A$15,0))</f>
        <v>0.01</v>
      </c>
      <c r="L277" s="13" t="n">
        <f aca="false">H277*K277</f>
        <v>242</v>
      </c>
      <c r="M277" s="13" t="n">
        <f aca="false">IF(I277&gt;Assumptions!$B$5,H277,0)</f>
        <v>0</v>
      </c>
      <c r="N277" s="13" t="n">
        <f aca="false">IF(I277&gt;Assumptions!$B$6,H277,0)</f>
        <v>0</v>
      </c>
    </row>
    <row r="278" customFormat="false" ht="15" hidden="false" customHeight="false" outlineLevel="0" collapsed="false">
      <c r="A278" s="22" t="s">
        <v>362</v>
      </c>
      <c r="B278" s="22" t="s">
        <v>44</v>
      </c>
      <c r="C278" s="22" t="s">
        <v>54</v>
      </c>
      <c r="D278" s="23" t="n">
        <v>45478</v>
      </c>
      <c r="E278" s="24" t="n">
        <v>104000</v>
      </c>
      <c r="F278" s="25" t="n">
        <v>0.15</v>
      </c>
      <c r="G278" s="22" t="n">
        <v>24</v>
      </c>
      <c r="H278" s="24" t="n">
        <v>32900</v>
      </c>
      <c r="I278" s="22" t="n">
        <v>0</v>
      </c>
      <c r="J278" s="12" t="str">
        <f aca="false">IF(I278&lt;=0,"Current",IF(I278&lt;=30,"01-30 days",IF(I278&lt;=90,"31-90 days",IF(I278&lt;=180,"91-180 days","180+ days"))))</f>
        <v>Current</v>
      </c>
      <c r="K278" s="14" t="n">
        <f aca="false">INDEX(Assumptions!$B$11:$B$15,MATCH(J278,Assumptions!$A$11:$A$15,0))</f>
        <v>0.01</v>
      </c>
      <c r="L278" s="13" t="n">
        <f aca="false">H278*K278</f>
        <v>329</v>
      </c>
      <c r="M278" s="13" t="n">
        <f aca="false">IF(I278&gt;Assumptions!$B$5,H278,0)</f>
        <v>0</v>
      </c>
      <c r="N278" s="13" t="n">
        <f aca="false">IF(I278&gt;Assumptions!$B$6,H278,0)</f>
        <v>0</v>
      </c>
    </row>
    <row r="279" customFormat="false" ht="15" hidden="false" customHeight="false" outlineLevel="0" collapsed="false">
      <c r="A279" s="22" t="s">
        <v>363</v>
      </c>
      <c r="B279" s="22" t="s">
        <v>46</v>
      </c>
      <c r="C279" s="22" t="s">
        <v>52</v>
      </c>
      <c r="D279" s="23" t="n">
        <v>45621</v>
      </c>
      <c r="E279" s="24" t="n">
        <v>509000</v>
      </c>
      <c r="F279" s="25" t="n">
        <v>0.14</v>
      </c>
      <c r="G279" s="22" t="n">
        <v>36</v>
      </c>
      <c r="H279" s="24" t="n">
        <v>293700</v>
      </c>
      <c r="I279" s="22" t="n">
        <v>0</v>
      </c>
      <c r="J279" s="12" t="str">
        <f aca="false">IF(I279&lt;=0,"Current",IF(I279&lt;=30,"01-30 days",IF(I279&lt;=90,"31-90 days",IF(I279&lt;=180,"91-180 days","180+ days"))))</f>
        <v>Current</v>
      </c>
      <c r="K279" s="14" t="n">
        <f aca="false">INDEX(Assumptions!$B$11:$B$15,MATCH(J279,Assumptions!$A$11:$A$15,0))</f>
        <v>0.01</v>
      </c>
      <c r="L279" s="13" t="n">
        <f aca="false">H279*K279</f>
        <v>2937</v>
      </c>
      <c r="M279" s="13" t="n">
        <f aca="false">IF(I279&gt;Assumptions!$B$5,H279,0)</f>
        <v>0</v>
      </c>
      <c r="N279" s="13" t="n">
        <f aca="false">IF(I279&gt;Assumptions!$B$6,H279,0)</f>
        <v>0</v>
      </c>
    </row>
    <row r="280" customFormat="false" ht="15" hidden="false" customHeight="false" outlineLevel="0" collapsed="false">
      <c r="A280" s="22" t="s">
        <v>364</v>
      </c>
      <c r="B280" s="22" t="s">
        <v>49</v>
      </c>
      <c r="C280" s="22" t="s">
        <v>53</v>
      </c>
      <c r="D280" s="23" t="n">
        <v>46064</v>
      </c>
      <c r="E280" s="24" t="n">
        <v>25000</v>
      </c>
      <c r="F280" s="25" t="n">
        <v>0.18</v>
      </c>
      <c r="G280" s="22" t="n">
        <v>6</v>
      </c>
      <c r="H280" s="24" t="n">
        <v>21500</v>
      </c>
      <c r="I280" s="22" t="n">
        <v>0</v>
      </c>
      <c r="J280" s="12" t="str">
        <f aca="false">IF(I280&lt;=0,"Current",IF(I280&lt;=30,"01-30 days",IF(I280&lt;=90,"31-90 days",IF(I280&lt;=180,"91-180 days","180+ days"))))</f>
        <v>Current</v>
      </c>
      <c r="K280" s="14" t="n">
        <f aca="false">INDEX(Assumptions!$B$11:$B$15,MATCH(J280,Assumptions!$A$11:$A$15,0))</f>
        <v>0.01</v>
      </c>
      <c r="L280" s="13" t="n">
        <f aca="false">H280*K280</f>
        <v>215</v>
      </c>
      <c r="M280" s="13" t="n">
        <f aca="false">IF(I280&gt;Assumptions!$B$5,H280,0)</f>
        <v>0</v>
      </c>
      <c r="N280" s="13" t="n">
        <f aca="false">IF(I280&gt;Assumptions!$B$6,H280,0)</f>
        <v>0</v>
      </c>
    </row>
    <row r="281" customFormat="false" ht="15" hidden="false" customHeight="false" outlineLevel="0" collapsed="false">
      <c r="A281" s="22" t="s">
        <v>365</v>
      </c>
      <c r="B281" s="22" t="s">
        <v>47</v>
      </c>
      <c r="C281" s="22" t="s">
        <v>56</v>
      </c>
      <c r="D281" s="23" t="n">
        <v>45516</v>
      </c>
      <c r="E281" s="24" t="n">
        <v>858000</v>
      </c>
      <c r="F281" s="25" t="n">
        <v>0.16</v>
      </c>
      <c r="G281" s="22" t="n">
        <v>48</v>
      </c>
      <c r="H281" s="24" t="n">
        <v>448400</v>
      </c>
      <c r="I281" s="22" t="n">
        <v>0</v>
      </c>
      <c r="J281" s="12" t="str">
        <f aca="false">IF(I281&lt;=0,"Current",IF(I281&lt;=30,"01-30 days",IF(I281&lt;=90,"31-90 days",IF(I281&lt;=180,"91-180 days","180+ days"))))</f>
        <v>Current</v>
      </c>
      <c r="K281" s="14" t="n">
        <f aca="false">INDEX(Assumptions!$B$11:$B$15,MATCH(J281,Assumptions!$A$11:$A$15,0))</f>
        <v>0.01</v>
      </c>
      <c r="L281" s="13" t="n">
        <f aca="false">H281*K281</f>
        <v>4484</v>
      </c>
      <c r="M281" s="13" t="n">
        <f aca="false">IF(I281&gt;Assumptions!$B$5,H281,0)</f>
        <v>0</v>
      </c>
      <c r="N281" s="13" t="n">
        <f aca="false">IF(I281&gt;Assumptions!$B$6,H281,0)</f>
        <v>0</v>
      </c>
    </row>
    <row r="282" customFormat="false" ht="15" hidden="false" customHeight="false" outlineLevel="0" collapsed="false">
      <c r="A282" s="22" t="s">
        <v>366</v>
      </c>
      <c r="B282" s="22" t="s">
        <v>46</v>
      </c>
      <c r="C282" s="22" t="s">
        <v>53</v>
      </c>
      <c r="D282" s="23" t="n">
        <v>45621</v>
      </c>
      <c r="E282" s="24" t="n">
        <v>89000</v>
      </c>
      <c r="F282" s="25" t="n">
        <v>0.18</v>
      </c>
      <c r="G282" s="22" t="n">
        <v>6</v>
      </c>
      <c r="H282" s="24" t="n">
        <v>22500</v>
      </c>
      <c r="I282" s="22" t="n">
        <v>0</v>
      </c>
      <c r="J282" s="12" t="str">
        <f aca="false">IF(I282&lt;=0,"Current",IF(I282&lt;=30,"01-30 days",IF(I282&lt;=90,"31-90 days",IF(I282&lt;=180,"91-180 days","180+ days"))))</f>
        <v>Current</v>
      </c>
      <c r="K282" s="14" t="n">
        <f aca="false">INDEX(Assumptions!$B$11:$B$15,MATCH(J282,Assumptions!$A$11:$A$15,0))</f>
        <v>0.01</v>
      </c>
      <c r="L282" s="13" t="n">
        <f aca="false">H282*K282</f>
        <v>225</v>
      </c>
      <c r="M282" s="13" t="n">
        <f aca="false">IF(I282&gt;Assumptions!$B$5,H282,0)</f>
        <v>0</v>
      </c>
      <c r="N282" s="13" t="n">
        <f aca="false">IF(I282&gt;Assumptions!$B$6,H282,0)</f>
        <v>0</v>
      </c>
    </row>
    <row r="283" customFormat="false" ht="15" hidden="false" customHeight="false" outlineLevel="0" collapsed="false">
      <c r="A283" s="22" t="s">
        <v>367</v>
      </c>
      <c r="B283" s="22" t="s">
        <v>49</v>
      </c>
      <c r="C283" s="22" t="s">
        <v>54</v>
      </c>
      <c r="D283" s="23" t="n">
        <v>45923</v>
      </c>
      <c r="E283" s="24" t="n">
        <v>318000</v>
      </c>
      <c r="F283" s="25" t="n">
        <v>0.15</v>
      </c>
      <c r="G283" s="22" t="n">
        <v>24</v>
      </c>
      <c r="H283" s="24" t="n">
        <v>299600</v>
      </c>
      <c r="I283" s="22" t="n">
        <v>21</v>
      </c>
      <c r="J283" s="12" t="str">
        <f aca="false">IF(I283&lt;=0,"Current",IF(I283&lt;=30,"01-30 days",IF(I283&lt;=90,"31-90 days",IF(I283&lt;=180,"91-180 days","180+ days"))))</f>
        <v>01-30 days</v>
      </c>
      <c r="K283" s="14" t="n">
        <f aca="false">INDEX(Assumptions!$B$11:$B$15,MATCH(J283,Assumptions!$A$11:$A$15,0))</f>
        <v>0.05</v>
      </c>
      <c r="L283" s="13" t="n">
        <f aca="false">H283*K283</f>
        <v>14980</v>
      </c>
      <c r="M283" s="13" t="n">
        <f aca="false">IF(I283&gt;Assumptions!$B$5,H283,0)</f>
        <v>0</v>
      </c>
      <c r="N283" s="13" t="n">
        <f aca="false">IF(I283&gt;Assumptions!$B$6,H283,0)</f>
        <v>0</v>
      </c>
    </row>
    <row r="284" customFormat="false" ht="15" hidden="false" customHeight="false" outlineLevel="0" collapsed="false">
      <c r="A284" s="22" t="s">
        <v>368</v>
      </c>
      <c r="B284" s="22" t="s">
        <v>47</v>
      </c>
      <c r="C284" s="22" t="s">
        <v>55</v>
      </c>
      <c r="D284" s="23" t="n">
        <v>45873</v>
      </c>
      <c r="E284" s="24" t="n">
        <v>249000</v>
      </c>
      <c r="F284" s="25" t="n">
        <v>0.12</v>
      </c>
      <c r="G284" s="22" t="n">
        <v>12</v>
      </c>
      <c r="H284" s="24" t="n">
        <v>183200</v>
      </c>
      <c r="I284" s="22" t="n">
        <v>0</v>
      </c>
      <c r="J284" s="12" t="str">
        <f aca="false">IF(I284&lt;=0,"Current",IF(I284&lt;=30,"01-30 days",IF(I284&lt;=90,"31-90 days",IF(I284&lt;=180,"91-180 days","180+ days"))))</f>
        <v>Current</v>
      </c>
      <c r="K284" s="14" t="n">
        <f aca="false">INDEX(Assumptions!$B$11:$B$15,MATCH(J284,Assumptions!$A$11:$A$15,0))</f>
        <v>0.01</v>
      </c>
      <c r="L284" s="13" t="n">
        <f aca="false">H284*K284</f>
        <v>1832</v>
      </c>
      <c r="M284" s="13" t="n">
        <f aca="false">IF(I284&gt;Assumptions!$B$5,H284,0)</f>
        <v>0</v>
      </c>
      <c r="N284" s="13" t="n">
        <f aca="false">IF(I284&gt;Assumptions!$B$6,H284,0)</f>
        <v>0</v>
      </c>
    </row>
    <row r="285" customFormat="false" ht="15" hidden="false" customHeight="false" outlineLevel="0" collapsed="false">
      <c r="A285" s="22" t="s">
        <v>369</v>
      </c>
      <c r="B285" s="22" t="s">
        <v>49</v>
      </c>
      <c r="C285" s="22" t="s">
        <v>52</v>
      </c>
      <c r="D285" s="23" t="n">
        <v>46148</v>
      </c>
      <c r="E285" s="24" t="n">
        <v>564000</v>
      </c>
      <c r="F285" s="25" t="n">
        <v>0.14</v>
      </c>
      <c r="G285" s="22" t="n">
        <v>36</v>
      </c>
      <c r="H285" s="24" t="n">
        <v>297300</v>
      </c>
      <c r="I285" s="22" t="n">
        <v>0</v>
      </c>
      <c r="J285" s="12" t="str">
        <f aca="false">IF(I285&lt;=0,"Current",IF(I285&lt;=30,"01-30 days",IF(I285&lt;=90,"31-90 days",IF(I285&lt;=180,"91-180 days","180+ days"))))</f>
        <v>Current</v>
      </c>
      <c r="K285" s="14" t="n">
        <f aca="false">INDEX(Assumptions!$B$11:$B$15,MATCH(J285,Assumptions!$A$11:$A$15,0))</f>
        <v>0.01</v>
      </c>
      <c r="L285" s="13" t="n">
        <f aca="false">H285*K285</f>
        <v>2973</v>
      </c>
      <c r="M285" s="13" t="n">
        <f aca="false">IF(I285&gt;Assumptions!$B$5,H285,0)</f>
        <v>0</v>
      </c>
      <c r="N285" s="13" t="n">
        <f aca="false">IF(I285&gt;Assumptions!$B$6,H285,0)</f>
        <v>0</v>
      </c>
    </row>
    <row r="286" customFormat="false" ht="15" hidden="false" customHeight="false" outlineLevel="0" collapsed="false">
      <c r="A286" s="22" t="s">
        <v>370</v>
      </c>
      <c r="B286" s="22" t="s">
        <v>45</v>
      </c>
      <c r="C286" s="22" t="s">
        <v>53</v>
      </c>
      <c r="D286" s="23" t="n">
        <v>45819</v>
      </c>
      <c r="E286" s="24" t="n">
        <v>116000</v>
      </c>
      <c r="F286" s="25" t="n">
        <v>0.18</v>
      </c>
      <c r="G286" s="22" t="n">
        <v>6</v>
      </c>
      <c r="H286" s="24" t="n">
        <v>75500</v>
      </c>
      <c r="I286" s="22" t="n">
        <v>0</v>
      </c>
      <c r="J286" s="12" t="str">
        <f aca="false">IF(I286&lt;=0,"Current",IF(I286&lt;=30,"01-30 days",IF(I286&lt;=90,"31-90 days",IF(I286&lt;=180,"91-180 days","180+ days"))))</f>
        <v>Current</v>
      </c>
      <c r="K286" s="14" t="n">
        <f aca="false">INDEX(Assumptions!$B$11:$B$15,MATCH(J286,Assumptions!$A$11:$A$15,0))</f>
        <v>0.01</v>
      </c>
      <c r="L286" s="13" t="n">
        <f aca="false">H286*K286</f>
        <v>755</v>
      </c>
      <c r="M286" s="13" t="n">
        <f aca="false">IF(I286&gt;Assumptions!$B$5,H286,0)</f>
        <v>0</v>
      </c>
      <c r="N286" s="13" t="n">
        <f aca="false">IF(I286&gt;Assumptions!$B$6,H286,0)</f>
        <v>0</v>
      </c>
    </row>
    <row r="287" customFormat="false" ht="15" hidden="false" customHeight="false" outlineLevel="0" collapsed="false">
      <c r="A287" s="22" t="s">
        <v>371</v>
      </c>
      <c r="B287" s="22" t="s">
        <v>49</v>
      </c>
      <c r="C287" s="22" t="s">
        <v>56</v>
      </c>
      <c r="D287" s="23" t="n">
        <v>45339</v>
      </c>
      <c r="E287" s="24" t="n">
        <v>1484000</v>
      </c>
      <c r="F287" s="25" t="n">
        <v>0.16</v>
      </c>
      <c r="G287" s="22" t="n">
        <v>48</v>
      </c>
      <c r="H287" s="24" t="n">
        <v>799500</v>
      </c>
      <c r="I287" s="22" t="n">
        <v>0</v>
      </c>
      <c r="J287" s="12" t="str">
        <f aca="false">IF(I287&lt;=0,"Current",IF(I287&lt;=30,"01-30 days",IF(I287&lt;=90,"31-90 days",IF(I287&lt;=180,"91-180 days","180+ days"))))</f>
        <v>Current</v>
      </c>
      <c r="K287" s="14" t="n">
        <f aca="false">INDEX(Assumptions!$B$11:$B$15,MATCH(J287,Assumptions!$A$11:$A$15,0))</f>
        <v>0.01</v>
      </c>
      <c r="L287" s="13" t="n">
        <f aca="false">H287*K287</f>
        <v>7995</v>
      </c>
      <c r="M287" s="13" t="n">
        <f aca="false">IF(I287&gt;Assumptions!$B$5,H287,0)</f>
        <v>0</v>
      </c>
      <c r="N287" s="13" t="n">
        <f aca="false">IF(I287&gt;Assumptions!$B$6,H287,0)</f>
        <v>0</v>
      </c>
    </row>
    <row r="288" customFormat="false" ht="15" hidden="false" customHeight="false" outlineLevel="0" collapsed="false">
      <c r="A288" s="22" t="s">
        <v>372</v>
      </c>
      <c r="B288" s="22" t="s">
        <v>47</v>
      </c>
      <c r="C288" s="22" t="s">
        <v>54</v>
      </c>
      <c r="D288" s="23" t="n">
        <v>45554</v>
      </c>
      <c r="E288" s="24" t="n">
        <v>127000</v>
      </c>
      <c r="F288" s="25" t="n">
        <v>0.15</v>
      </c>
      <c r="G288" s="22" t="n">
        <v>24</v>
      </c>
      <c r="H288" s="24" t="n">
        <v>76500</v>
      </c>
      <c r="I288" s="22" t="n">
        <v>0</v>
      </c>
      <c r="J288" s="12" t="str">
        <f aca="false">IF(I288&lt;=0,"Current",IF(I288&lt;=30,"01-30 days",IF(I288&lt;=90,"31-90 days",IF(I288&lt;=180,"91-180 days","180+ days"))))</f>
        <v>Current</v>
      </c>
      <c r="K288" s="14" t="n">
        <f aca="false">INDEX(Assumptions!$B$11:$B$15,MATCH(J288,Assumptions!$A$11:$A$15,0))</f>
        <v>0.01</v>
      </c>
      <c r="L288" s="13" t="n">
        <f aca="false">H288*K288</f>
        <v>765</v>
      </c>
      <c r="M288" s="13" t="n">
        <f aca="false">IF(I288&gt;Assumptions!$B$5,H288,0)</f>
        <v>0</v>
      </c>
      <c r="N288" s="13" t="n">
        <f aca="false">IF(I288&gt;Assumptions!$B$6,H288,0)</f>
        <v>0</v>
      </c>
    </row>
    <row r="289" customFormat="false" ht="15" hidden="false" customHeight="false" outlineLevel="0" collapsed="false">
      <c r="A289" s="22" t="s">
        <v>373</v>
      </c>
      <c r="B289" s="22" t="s">
        <v>48</v>
      </c>
      <c r="C289" s="22" t="s">
        <v>54</v>
      </c>
      <c r="D289" s="23" t="n">
        <v>45703</v>
      </c>
      <c r="E289" s="24" t="n">
        <v>146000</v>
      </c>
      <c r="F289" s="25" t="n">
        <v>0.15</v>
      </c>
      <c r="G289" s="22" t="n">
        <v>24</v>
      </c>
      <c r="H289" s="24" t="n">
        <v>109900</v>
      </c>
      <c r="I289" s="22" t="n">
        <v>0</v>
      </c>
      <c r="J289" s="12" t="str">
        <f aca="false">IF(I289&lt;=0,"Current",IF(I289&lt;=30,"01-30 days",IF(I289&lt;=90,"31-90 days",IF(I289&lt;=180,"91-180 days","180+ days"))))</f>
        <v>Current</v>
      </c>
      <c r="K289" s="14" t="n">
        <f aca="false">INDEX(Assumptions!$B$11:$B$15,MATCH(J289,Assumptions!$A$11:$A$15,0))</f>
        <v>0.01</v>
      </c>
      <c r="L289" s="13" t="n">
        <f aca="false">H289*K289</f>
        <v>1099</v>
      </c>
      <c r="M289" s="13" t="n">
        <f aca="false">IF(I289&gt;Assumptions!$B$5,H289,0)</f>
        <v>0</v>
      </c>
      <c r="N289" s="13" t="n">
        <f aca="false">IF(I289&gt;Assumptions!$B$6,H289,0)</f>
        <v>0</v>
      </c>
    </row>
    <row r="290" customFormat="false" ht="15" hidden="false" customHeight="false" outlineLevel="0" collapsed="false">
      <c r="A290" s="22" t="s">
        <v>374</v>
      </c>
      <c r="B290" s="22" t="s">
        <v>44</v>
      </c>
      <c r="C290" s="22" t="s">
        <v>53</v>
      </c>
      <c r="D290" s="23" t="n">
        <v>45398</v>
      </c>
      <c r="E290" s="24" t="n">
        <v>145000</v>
      </c>
      <c r="F290" s="25" t="n">
        <v>0.18</v>
      </c>
      <c r="G290" s="22" t="n">
        <v>6</v>
      </c>
      <c r="H290" s="24" t="n">
        <v>41100</v>
      </c>
      <c r="I290" s="22" t="n">
        <v>30</v>
      </c>
      <c r="J290" s="12" t="str">
        <f aca="false">IF(I290&lt;=0,"Current",IF(I290&lt;=30,"01-30 days",IF(I290&lt;=90,"31-90 days",IF(I290&lt;=180,"91-180 days","180+ days"))))</f>
        <v>01-30 days</v>
      </c>
      <c r="K290" s="14" t="n">
        <f aca="false">INDEX(Assumptions!$B$11:$B$15,MATCH(J290,Assumptions!$A$11:$A$15,0))</f>
        <v>0.05</v>
      </c>
      <c r="L290" s="13" t="n">
        <f aca="false">H290*K290</f>
        <v>2055</v>
      </c>
      <c r="M290" s="13" t="n">
        <f aca="false">IF(I290&gt;Assumptions!$B$5,H290,0)</f>
        <v>0</v>
      </c>
      <c r="N290" s="13" t="n">
        <f aca="false">IF(I290&gt;Assumptions!$B$6,H290,0)</f>
        <v>0</v>
      </c>
    </row>
    <row r="291" customFormat="false" ht="15" hidden="false" customHeight="false" outlineLevel="0" collapsed="false">
      <c r="A291" s="22" t="s">
        <v>375</v>
      </c>
      <c r="B291" s="22" t="s">
        <v>46</v>
      </c>
      <c r="C291" s="22" t="s">
        <v>54</v>
      </c>
      <c r="D291" s="23" t="n">
        <v>45504</v>
      </c>
      <c r="E291" s="24" t="n">
        <v>83000</v>
      </c>
      <c r="F291" s="25" t="n">
        <v>0.15</v>
      </c>
      <c r="G291" s="22" t="n">
        <v>24</v>
      </c>
      <c r="H291" s="24" t="n">
        <v>28100</v>
      </c>
      <c r="I291" s="22" t="n">
        <v>11</v>
      </c>
      <c r="J291" s="12" t="str">
        <f aca="false">IF(I291&lt;=0,"Current",IF(I291&lt;=30,"01-30 days",IF(I291&lt;=90,"31-90 days",IF(I291&lt;=180,"91-180 days","180+ days"))))</f>
        <v>01-30 days</v>
      </c>
      <c r="K291" s="14" t="n">
        <f aca="false">INDEX(Assumptions!$B$11:$B$15,MATCH(J291,Assumptions!$A$11:$A$15,0))</f>
        <v>0.05</v>
      </c>
      <c r="L291" s="13" t="n">
        <f aca="false">H291*K291</f>
        <v>1405</v>
      </c>
      <c r="M291" s="13" t="n">
        <f aca="false">IF(I291&gt;Assumptions!$B$5,H291,0)</f>
        <v>0</v>
      </c>
      <c r="N291" s="13" t="n">
        <f aca="false">IF(I291&gt;Assumptions!$B$6,H291,0)</f>
        <v>0</v>
      </c>
    </row>
    <row r="292" customFormat="false" ht="15" hidden="false" customHeight="false" outlineLevel="0" collapsed="false">
      <c r="A292" s="22" t="s">
        <v>376</v>
      </c>
      <c r="B292" s="22" t="s">
        <v>46</v>
      </c>
      <c r="C292" s="22" t="s">
        <v>55</v>
      </c>
      <c r="D292" s="23" t="n">
        <v>45536</v>
      </c>
      <c r="E292" s="24" t="n">
        <v>80000</v>
      </c>
      <c r="F292" s="25" t="n">
        <v>0.12</v>
      </c>
      <c r="G292" s="22" t="n">
        <v>12</v>
      </c>
      <c r="H292" s="24" t="n">
        <v>45300</v>
      </c>
      <c r="I292" s="22" t="n">
        <v>0</v>
      </c>
      <c r="J292" s="12" t="str">
        <f aca="false">IF(I292&lt;=0,"Current",IF(I292&lt;=30,"01-30 days",IF(I292&lt;=90,"31-90 days",IF(I292&lt;=180,"91-180 days","180+ days"))))</f>
        <v>Current</v>
      </c>
      <c r="K292" s="14" t="n">
        <f aca="false">INDEX(Assumptions!$B$11:$B$15,MATCH(J292,Assumptions!$A$11:$A$15,0))</f>
        <v>0.01</v>
      </c>
      <c r="L292" s="13" t="n">
        <f aca="false">H292*K292</f>
        <v>453</v>
      </c>
      <c r="M292" s="13" t="n">
        <f aca="false">IF(I292&gt;Assumptions!$B$5,H292,0)</f>
        <v>0</v>
      </c>
      <c r="N292" s="13" t="n">
        <f aca="false">IF(I292&gt;Assumptions!$B$6,H292,0)</f>
        <v>0</v>
      </c>
    </row>
    <row r="293" customFormat="false" ht="15" hidden="false" customHeight="false" outlineLevel="0" collapsed="false">
      <c r="A293" s="22" t="s">
        <v>377</v>
      </c>
      <c r="B293" s="22" t="s">
        <v>44</v>
      </c>
      <c r="C293" s="22" t="s">
        <v>56</v>
      </c>
      <c r="D293" s="23" t="n">
        <v>45539</v>
      </c>
      <c r="E293" s="24" t="n">
        <v>1102000</v>
      </c>
      <c r="F293" s="25" t="n">
        <v>0.16</v>
      </c>
      <c r="G293" s="22" t="n">
        <v>48</v>
      </c>
      <c r="H293" s="24" t="n">
        <v>871000</v>
      </c>
      <c r="I293" s="22" t="n">
        <v>0</v>
      </c>
      <c r="J293" s="12" t="str">
        <f aca="false">IF(I293&lt;=0,"Current",IF(I293&lt;=30,"01-30 days",IF(I293&lt;=90,"31-90 days",IF(I293&lt;=180,"91-180 days","180+ days"))))</f>
        <v>Current</v>
      </c>
      <c r="K293" s="14" t="n">
        <f aca="false">INDEX(Assumptions!$B$11:$B$15,MATCH(J293,Assumptions!$A$11:$A$15,0))</f>
        <v>0.01</v>
      </c>
      <c r="L293" s="13" t="n">
        <f aca="false">H293*K293</f>
        <v>8710</v>
      </c>
      <c r="M293" s="13" t="n">
        <f aca="false">IF(I293&gt;Assumptions!$B$5,H293,0)</f>
        <v>0</v>
      </c>
      <c r="N293" s="13" t="n">
        <f aca="false">IF(I293&gt;Assumptions!$B$6,H293,0)</f>
        <v>0</v>
      </c>
    </row>
    <row r="294" customFormat="false" ht="15" hidden="false" customHeight="false" outlineLevel="0" collapsed="false">
      <c r="A294" s="22" t="s">
        <v>378</v>
      </c>
      <c r="B294" s="22" t="s">
        <v>44</v>
      </c>
      <c r="C294" s="22" t="s">
        <v>55</v>
      </c>
      <c r="D294" s="23" t="n">
        <v>45359</v>
      </c>
      <c r="E294" s="24" t="n">
        <v>248000</v>
      </c>
      <c r="F294" s="25" t="n">
        <v>0.12</v>
      </c>
      <c r="G294" s="22" t="n">
        <v>12</v>
      </c>
      <c r="H294" s="24" t="n">
        <v>60000</v>
      </c>
      <c r="I294" s="22" t="n">
        <v>0</v>
      </c>
      <c r="J294" s="12" t="str">
        <f aca="false">IF(I294&lt;=0,"Current",IF(I294&lt;=30,"01-30 days",IF(I294&lt;=90,"31-90 days",IF(I294&lt;=180,"91-180 days","180+ days"))))</f>
        <v>Current</v>
      </c>
      <c r="K294" s="14" t="n">
        <f aca="false">INDEX(Assumptions!$B$11:$B$15,MATCH(J294,Assumptions!$A$11:$A$15,0))</f>
        <v>0.01</v>
      </c>
      <c r="L294" s="13" t="n">
        <f aca="false">H294*K294</f>
        <v>600</v>
      </c>
      <c r="M294" s="13" t="n">
        <f aca="false">IF(I294&gt;Assumptions!$B$5,H294,0)</f>
        <v>0</v>
      </c>
      <c r="N294" s="13" t="n">
        <f aca="false">IF(I294&gt;Assumptions!$B$6,H294,0)</f>
        <v>0</v>
      </c>
    </row>
    <row r="295" customFormat="false" ht="15" hidden="false" customHeight="false" outlineLevel="0" collapsed="false">
      <c r="A295" s="22" t="s">
        <v>379</v>
      </c>
      <c r="B295" s="22" t="s">
        <v>48</v>
      </c>
      <c r="C295" s="22" t="s">
        <v>53</v>
      </c>
      <c r="D295" s="23" t="n">
        <v>45646</v>
      </c>
      <c r="E295" s="24" t="n">
        <v>113000</v>
      </c>
      <c r="F295" s="25" t="n">
        <v>0.18</v>
      </c>
      <c r="G295" s="22" t="n">
        <v>6</v>
      </c>
      <c r="H295" s="24" t="n">
        <v>37700</v>
      </c>
      <c r="I295" s="22" t="n">
        <v>0</v>
      </c>
      <c r="J295" s="12" t="str">
        <f aca="false">IF(I295&lt;=0,"Current",IF(I295&lt;=30,"01-30 days",IF(I295&lt;=90,"31-90 days",IF(I295&lt;=180,"91-180 days","180+ days"))))</f>
        <v>Current</v>
      </c>
      <c r="K295" s="14" t="n">
        <f aca="false">INDEX(Assumptions!$B$11:$B$15,MATCH(J295,Assumptions!$A$11:$A$15,0))</f>
        <v>0.01</v>
      </c>
      <c r="L295" s="13" t="n">
        <f aca="false">H295*K295</f>
        <v>377</v>
      </c>
      <c r="M295" s="13" t="n">
        <f aca="false">IF(I295&gt;Assumptions!$B$5,H295,0)</f>
        <v>0</v>
      </c>
      <c r="N295" s="13" t="n">
        <f aca="false">IF(I295&gt;Assumptions!$B$6,H295,0)</f>
        <v>0</v>
      </c>
    </row>
    <row r="296" customFormat="false" ht="15" hidden="false" customHeight="false" outlineLevel="0" collapsed="false">
      <c r="A296" s="22" t="s">
        <v>380</v>
      </c>
      <c r="B296" s="22" t="s">
        <v>49</v>
      </c>
      <c r="C296" s="22" t="s">
        <v>53</v>
      </c>
      <c r="D296" s="23" t="n">
        <v>45792</v>
      </c>
      <c r="E296" s="24" t="n">
        <v>93000</v>
      </c>
      <c r="F296" s="25" t="n">
        <v>0.18</v>
      </c>
      <c r="G296" s="22" t="n">
        <v>6</v>
      </c>
      <c r="H296" s="24" t="n">
        <v>26800</v>
      </c>
      <c r="I296" s="22" t="n">
        <v>32</v>
      </c>
      <c r="J296" s="12" t="str">
        <f aca="false">IF(I296&lt;=0,"Current",IF(I296&lt;=30,"01-30 days",IF(I296&lt;=90,"31-90 days",IF(I296&lt;=180,"91-180 days","180+ days"))))</f>
        <v>31-90 days</v>
      </c>
      <c r="K296" s="14" t="n">
        <f aca="false">INDEX(Assumptions!$B$11:$B$15,MATCH(J296,Assumptions!$A$11:$A$15,0))</f>
        <v>0.25</v>
      </c>
      <c r="L296" s="13" t="n">
        <f aca="false">H296*K296</f>
        <v>6700</v>
      </c>
      <c r="M296" s="13" t="n">
        <f aca="false">IF(I296&gt;Assumptions!$B$5,H296,0)</f>
        <v>26800</v>
      </c>
      <c r="N296" s="13" t="n">
        <f aca="false">IF(I296&gt;Assumptions!$B$6,H296,0)</f>
        <v>0</v>
      </c>
    </row>
    <row r="297" customFormat="false" ht="15" hidden="false" customHeight="false" outlineLevel="0" collapsed="false">
      <c r="A297" s="22" t="s">
        <v>381</v>
      </c>
      <c r="B297" s="22" t="s">
        <v>44</v>
      </c>
      <c r="C297" s="22" t="s">
        <v>53</v>
      </c>
      <c r="D297" s="23" t="n">
        <v>45493</v>
      </c>
      <c r="E297" s="24" t="n">
        <v>100000</v>
      </c>
      <c r="F297" s="25" t="n">
        <v>0.18</v>
      </c>
      <c r="G297" s="22" t="n">
        <v>6</v>
      </c>
      <c r="H297" s="24" t="n">
        <v>85700</v>
      </c>
      <c r="I297" s="22" t="n">
        <v>0</v>
      </c>
      <c r="J297" s="12" t="str">
        <f aca="false">IF(I297&lt;=0,"Current",IF(I297&lt;=30,"01-30 days",IF(I297&lt;=90,"31-90 days",IF(I297&lt;=180,"91-180 days","180+ days"))))</f>
        <v>Current</v>
      </c>
      <c r="K297" s="14" t="n">
        <f aca="false">INDEX(Assumptions!$B$11:$B$15,MATCH(J297,Assumptions!$A$11:$A$15,0))</f>
        <v>0.01</v>
      </c>
      <c r="L297" s="13" t="n">
        <f aca="false">H297*K297</f>
        <v>857</v>
      </c>
      <c r="M297" s="13" t="n">
        <f aca="false">IF(I297&gt;Assumptions!$B$5,H297,0)</f>
        <v>0</v>
      </c>
      <c r="N297" s="13" t="n">
        <f aca="false">IF(I297&gt;Assumptions!$B$6,H297,0)</f>
        <v>0</v>
      </c>
    </row>
    <row r="298" customFormat="false" ht="15" hidden="false" customHeight="false" outlineLevel="0" collapsed="false">
      <c r="A298" s="22" t="s">
        <v>382</v>
      </c>
      <c r="B298" s="22" t="s">
        <v>47</v>
      </c>
      <c r="C298" s="22" t="s">
        <v>55</v>
      </c>
      <c r="D298" s="23" t="n">
        <v>45614</v>
      </c>
      <c r="E298" s="24" t="n">
        <v>126000</v>
      </c>
      <c r="F298" s="25" t="n">
        <v>0.12</v>
      </c>
      <c r="G298" s="22" t="n">
        <v>12</v>
      </c>
      <c r="H298" s="24" t="n">
        <v>26700</v>
      </c>
      <c r="I298" s="22" t="n">
        <v>0</v>
      </c>
      <c r="J298" s="12" t="str">
        <f aca="false">IF(I298&lt;=0,"Current",IF(I298&lt;=30,"01-30 days",IF(I298&lt;=90,"31-90 days",IF(I298&lt;=180,"91-180 days","180+ days"))))</f>
        <v>Current</v>
      </c>
      <c r="K298" s="14" t="n">
        <f aca="false">INDEX(Assumptions!$B$11:$B$15,MATCH(J298,Assumptions!$A$11:$A$15,0))</f>
        <v>0.01</v>
      </c>
      <c r="L298" s="13" t="n">
        <f aca="false">H298*K298</f>
        <v>267</v>
      </c>
      <c r="M298" s="13" t="n">
        <f aca="false">IF(I298&gt;Assumptions!$B$5,H298,0)</f>
        <v>0</v>
      </c>
      <c r="N298" s="13" t="n">
        <f aca="false">IF(I298&gt;Assumptions!$B$6,H298,0)</f>
        <v>0</v>
      </c>
    </row>
    <row r="299" customFormat="false" ht="15" hidden="false" customHeight="false" outlineLevel="0" collapsed="false">
      <c r="A299" s="22" t="s">
        <v>383</v>
      </c>
      <c r="B299" s="22" t="s">
        <v>48</v>
      </c>
      <c r="C299" s="22" t="s">
        <v>54</v>
      </c>
      <c r="D299" s="23" t="n">
        <v>45477</v>
      </c>
      <c r="E299" s="24" t="n">
        <v>387000</v>
      </c>
      <c r="F299" s="25" t="n">
        <v>0.15</v>
      </c>
      <c r="G299" s="22" t="n">
        <v>24</v>
      </c>
      <c r="H299" s="24" t="n">
        <v>252400</v>
      </c>
      <c r="I299" s="22" t="n">
        <v>0</v>
      </c>
      <c r="J299" s="12" t="str">
        <f aca="false">IF(I299&lt;=0,"Current",IF(I299&lt;=30,"01-30 days",IF(I299&lt;=90,"31-90 days",IF(I299&lt;=180,"91-180 days","180+ days"))))</f>
        <v>Current</v>
      </c>
      <c r="K299" s="14" t="n">
        <f aca="false">INDEX(Assumptions!$B$11:$B$15,MATCH(J299,Assumptions!$A$11:$A$15,0))</f>
        <v>0.01</v>
      </c>
      <c r="L299" s="13" t="n">
        <f aca="false">H299*K299</f>
        <v>2524</v>
      </c>
      <c r="M299" s="13" t="n">
        <f aca="false">IF(I299&gt;Assumptions!$B$5,H299,0)</f>
        <v>0</v>
      </c>
      <c r="N299" s="13" t="n">
        <f aca="false">IF(I299&gt;Assumptions!$B$6,H299,0)</f>
        <v>0</v>
      </c>
    </row>
    <row r="300" customFormat="false" ht="15" hidden="false" customHeight="false" outlineLevel="0" collapsed="false">
      <c r="A300" s="22" t="s">
        <v>384</v>
      </c>
      <c r="B300" s="22" t="s">
        <v>48</v>
      </c>
      <c r="C300" s="22" t="s">
        <v>53</v>
      </c>
      <c r="D300" s="23" t="n">
        <v>45556</v>
      </c>
      <c r="E300" s="24" t="n">
        <v>139000</v>
      </c>
      <c r="F300" s="25" t="n">
        <v>0.18</v>
      </c>
      <c r="G300" s="22" t="n">
        <v>6</v>
      </c>
      <c r="H300" s="24" t="n">
        <v>32100</v>
      </c>
      <c r="I300" s="22" t="n">
        <v>0</v>
      </c>
      <c r="J300" s="12" t="str">
        <f aca="false">IF(I300&lt;=0,"Current",IF(I300&lt;=30,"01-30 days",IF(I300&lt;=90,"31-90 days",IF(I300&lt;=180,"91-180 days","180+ days"))))</f>
        <v>Current</v>
      </c>
      <c r="K300" s="14" t="n">
        <f aca="false">INDEX(Assumptions!$B$11:$B$15,MATCH(J300,Assumptions!$A$11:$A$15,0))</f>
        <v>0.01</v>
      </c>
      <c r="L300" s="13" t="n">
        <f aca="false">H300*K300</f>
        <v>321</v>
      </c>
      <c r="M300" s="13" t="n">
        <f aca="false">IF(I300&gt;Assumptions!$B$5,H300,0)</f>
        <v>0</v>
      </c>
      <c r="N300" s="13" t="n">
        <f aca="false">IF(I300&gt;Assumptions!$B$6,H300,0)</f>
        <v>0</v>
      </c>
    </row>
    <row r="301" customFormat="false" ht="15" hidden="false" customHeight="false" outlineLevel="0" collapsed="false">
      <c r="A301" s="22" t="s">
        <v>385</v>
      </c>
      <c r="B301" s="22" t="s">
        <v>49</v>
      </c>
      <c r="C301" s="22" t="s">
        <v>56</v>
      </c>
      <c r="D301" s="23" t="n">
        <v>45362</v>
      </c>
      <c r="E301" s="24" t="n">
        <v>1475000</v>
      </c>
      <c r="F301" s="25" t="n">
        <v>0.16</v>
      </c>
      <c r="G301" s="22" t="n">
        <v>48</v>
      </c>
      <c r="H301" s="24" t="n">
        <v>690500</v>
      </c>
      <c r="I301" s="22" t="n">
        <v>0</v>
      </c>
      <c r="J301" s="12" t="str">
        <f aca="false">IF(I301&lt;=0,"Current",IF(I301&lt;=30,"01-30 days",IF(I301&lt;=90,"31-90 days",IF(I301&lt;=180,"91-180 days","180+ days"))))</f>
        <v>Current</v>
      </c>
      <c r="K301" s="14" t="n">
        <f aca="false">INDEX(Assumptions!$B$11:$B$15,MATCH(J301,Assumptions!$A$11:$A$15,0))</f>
        <v>0.01</v>
      </c>
      <c r="L301" s="13" t="n">
        <f aca="false">H301*K301</f>
        <v>6905</v>
      </c>
      <c r="M301" s="13" t="n">
        <f aca="false">IF(I301&gt;Assumptions!$B$5,H301,0)</f>
        <v>0</v>
      </c>
      <c r="N301" s="13" t="n">
        <f aca="false">IF(I301&gt;Assumptions!$B$6,H301,0)</f>
        <v>0</v>
      </c>
    </row>
    <row r="302" customFormat="false" ht="15" hidden="false" customHeight="false" outlineLevel="0" collapsed="false">
      <c r="A302" s="22" t="s">
        <v>386</v>
      </c>
      <c r="B302" s="22" t="s">
        <v>47</v>
      </c>
      <c r="C302" s="22" t="s">
        <v>54</v>
      </c>
      <c r="D302" s="23" t="n">
        <v>45441</v>
      </c>
      <c r="E302" s="24" t="n">
        <v>495000</v>
      </c>
      <c r="F302" s="25" t="n">
        <v>0.15</v>
      </c>
      <c r="G302" s="22" t="n">
        <v>24</v>
      </c>
      <c r="H302" s="24" t="n">
        <v>214200</v>
      </c>
      <c r="I302" s="22" t="n">
        <v>0</v>
      </c>
      <c r="J302" s="12" t="str">
        <f aca="false">IF(I302&lt;=0,"Current",IF(I302&lt;=30,"01-30 days",IF(I302&lt;=90,"31-90 days",IF(I302&lt;=180,"91-180 days","180+ days"))))</f>
        <v>Current</v>
      </c>
      <c r="K302" s="14" t="n">
        <f aca="false">INDEX(Assumptions!$B$11:$B$15,MATCH(J302,Assumptions!$A$11:$A$15,0))</f>
        <v>0.01</v>
      </c>
      <c r="L302" s="13" t="n">
        <f aca="false">H302*K302</f>
        <v>2142</v>
      </c>
      <c r="M302" s="13" t="n">
        <f aca="false">IF(I302&gt;Assumptions!$B$5,H302,0)</f>
        <v>0</v>
      </c>
      <c r="N302" s="13" t="n">
        <f aca="false">IF(I302&gt;Assumptions!$B$6,H302,0)</f>
        <v>0</v>
      </c>
    </row>
    <row r="303" customFormat="false" ht="15" hidden="false" customHeight="false" outlineLevel="0" collapsed="false">
      <c r="A303" s="22" t="s">
        <v>387</v>
      </c>
      <c r="B303" s="22" t="s">
        <v>44</v>
      </c>
      <c r="C303" s="22" t="s">
        <v>54</v>
      </c>
      <c r="D303" s="23" t="n">
        <v>45577</v>
      </c>
      <c r="E303" s="24" t="n">
        <v>267000</v>
      </c>
      <c r="F303" s="25" t="n">
        <v>0.15</v>
      </c>
      <c r="G303" s="22" t="n">
        <v>24</v>
      </c>
      <c r="H303" s="24" t="n">
        <v>128400</v>
      </c>
      <c r="I303" s="22" t="n">
        <v>0</v>
      </c>
      <c r="J303" s="12" t="str">
        <f aca="false">IF(I303&lt;=0,"Current",IF(I303&lt;=30,"01-30 days",IF(I303&lt;=90,"31-90 days",IF(I303&lt;=180,"91-180 days","180+ days"))))</f>
        <v>Current</v>
      </c>
      <c r="K303" s="14" t="n">
        <f aca="false">INDEX(Assumptions!$B$11:$B$15,MATCH(J303,Assumptions!$A$11:$A$15,0))</f>
        <v>0.01</v>
      </c>
      <c r="L303" s="13" t="n">
        <f aca="false">H303*K303</f>
        <v>1284</v>
      </c>
      <c r="M303" s="13" t="n">
        <f aca="false">IF(I303&gt;Assumptions!$B$5,H303,0)</f>
        <v>0</v>
      </c>
      <c r="N303" s="13" t="n">
        <f aca="false">IF(I303&gt;Assumptions!$B$6,H303,0)</f>
        <v>0</v>
      </c>
    </row>
    <row r="304" customFormat="false" ht="15" hidden="false" customHeight="false" outlineLevel="0" collapsed="false">
      <c r="A304" s="22" t="s">
        <v>388</v>
      </c>
      <c r="B304" s="22" t="s">
        <v>46</v>
      </c>
      <c r="C304" s="22" t="s">
        <v>56</v>
      </c>
      <c r="D304" s="23" t="n">
        <v>46012</v>
      </c>
      <c r="E304" s="24" t="n">
        <v>453000</v>
      </c>
      <c r="F304" s="25" t="n">
        <v>0.16</v>
      </c>
      <c r="G304" s="22" t="n">
        <v>48</v>
      </c>
      <c r="H304" s="24" t="n">
        <v>410500</v>
      </c>
      <c r="I304" s="22" t="n">
        <v>0</v>
      </c>
      <c r="J304" s="12" t="str">
        <f aca="false">IF(I304&lt;=0,"Current",IF(I304&lt;=30,"01-30 days",IF(I304&lt;=90,"31-90 days",IF(I304&lt;=180,"91-180 days","180+ days"))))</f>
        <v>Current</v>
      </c>
      <c r="K304" s="14" t="n">
        <f aca="false">INDEX(Assumptions!$B$11:$B$15,MATCH(J304,Assumptions!$A$11:$A$15,0))</f>
        <v>0.01</v>
      </c>
      <c r="L304" s="13" t="n">
        <f aca="false">H304*K304</f>
        <v>4105</v>
      </c>
      <c r="M304" s="13" t="n">
        <f aca="false">IF(I304&gt;Assumptions!$B$5,H304,0)</f>
        <v>0</v>
      </c>
      <c r="N304" s="13" t="n">
        <f aca="false">IF(I304&gt;Assumptions!$B$6,H304,0)</f>
        <v>0</v>
      </c>
    </row>
    <row r="305" customFormat="false" ht="15" hidden="false" customHeight="false" outlineLevel="0" collapsed="false">
      <c r="A305" s="22" t="s">
        <v>389</v>
      </c>
      <c r="B305" s="22" t="s">
        <v>46</v>
      </c>
      <c r="C305" s="22" t="s">
        <v>55</v>
      </c>
      <c r="D305" s="23" t="n">
        <v>45523</v>
      </c>
      <c r="E305" s="24" t="n">
        <v>178000</v>
      </c>
      <c r="F305" s="25" t="n">
        <v>0.12</v>
      </c>
      <c r="G305" s="22" t="n">
        <v>12</v>
      </c>
      <c r="H305" s="24" t="n">
        <v>51300</v>
      </c>
      <c r="I305" s="22" t="n">
        <v>49</v>
      </c>
      <c r="J305" s="12" t="str">
        <f aca="false">IF(I305&lt;=0,"Current",IF(I305&lt;=30,"01-30 days",IF(I305&lt;=90,"31-90 days",IF(I305&lt;=180,"91-180 days","180+ days"))))</f>
        <v>31-90 days</v>
      </c>
      <c r="K305" s="14" t="n">
        <f aca="false">INDEX(Assumptions!$B$11:$B$15,MATCH(J305,Assumptions!$A$11:$A$15,0))</f>
        <v>0.25</v>
      </c>
      <c r="L305" s="13" t="n">
        <f aca="false">H305*K305</f>
        <v>12825</v>
      </c>
      <c r="M305" s="13" t="n">
        <f aca="false">IF(I305&gt;Assumptions!$B$5,H305,0)</f>
        <v>51300</v>
      </c>
      <c r="N305" s="13" t="n">
        <f aca="false">IF(I305&gt;Assumptions!$B$6,H305,0)</f>
        <v>0</v>
      </c>
    </row>
    <row r="306" customFormat="false" ht="15" hidden="false" customHeight="false" outlineLevel="0" collapsed="false">
      <c r="A306" s="22" t="s">
        <v>390</v>
      </c>
      <c r="B306" s="22" t="s">
        <v>49</v>
      </c>
      <c r="C306" s="22" t="s">
        <v>55</v>
      </c>
      <c r="D306" s="23" t="n">
        <v>45751</v>
      </c>
      <c r="E306" s="24" t="n">
        <v>80000</v>
      </c>
      <c r="F306" s="25" t="n">
        <v>0.12</v>
      </c>
      <c r="G306" s="22" t="n">
        <v>12</v>
      </c>
      <c r="H306" s="24" t="n">
        <v>60600</v>
      </c>
      <c r="I306" s="22" t="n">
        <v>0</v>
      </c>
      <c r="J306" s="12" t="str">
        <f aca="false">IF(I306&lt;=0,"Current",IF(I306&lt;=30,"01-30 days",IF(I306&lt;=90,"31-90 days",IF(I306&lt;=180,"91-180 days","180+ days"))))</f>
        <v>Current</v>
      </c>
      <c r="K306" s="14" t="n">
        <f aca="false">INDEX(Assumptions!$B$11:$B$15,MATCH(J306,Assumptions!$A$11:$A$15,0))</f>
        <v>0.01</v>
      </c>
      <c r="L306" s="13" t="n">
        <f aca="false">H306*K306</f>
        <v>606</v>
      </c>
      <c r="M306" s="13" t="n">
        <f aca="false">IF(I306&gt;Assumptions!$B$5,H306,0)</f>
        <v>0</v>
      </c>
      <c r="N306" s="13" t="n">
        <f aca="false">IF(I306&gt;Assumptions!$B$6,H306,0)</f>
        <v>0</v>
      </c>
    </row>
    <row r="307" customFormat="false" ht="15" hidden="false" customHeight="false" outlineLevel="0" collapsed="false">
      <c r="A307" s="22" t="s">
        <v>391</v>
      </c>
      <c r="B307" s="22" t="s">
        <v>47</v>
      </c>
      <c r="C307" s="22" t="s">
        <v>54</v>
      </c>
      <c r="D307" s="23" t="n">
        <v>45966</v>
      </c>
      <c r="E307" s="24" t="n">
        <v>264000</v>
      </c>
      <c r="F307" s="25" t="n">
        <v>0.15</v>
      </c>
      <c r="G307" s="22" t="n">
        <v>24</v>
      </c>
      <c r="H307" s="24" t="n">
        <v>118800</v>
      </c>
      <c r="I307" s="22" t="n">
        <v>0</v>
      </c>
      <c r="J307" s="12" t="str">
        <f aca="false">IF(I307&lt;=0,"Current",IF(I307&lt;=30,"01-30 days",IF(I307&lt;=90,"31-90 days",IF(I307&lt;=180,"91-180 days","180+ days"))))</f>
        <v>Current</v>
      </c>
      <c r="K307" s="14" t="n">
        <f aca="false">INDEX(Assumptions!$B$11:$B$15,MATCH(J307,Assumptions!$A$11:$A$15,0))</f>
        <v>0.01</v>
      </c>
      <c r="L307" s="13" t="n">
        <f aca="false">H307*K307</f>
        <v>1188</v>
      </c>
      <c r="M307" s="13" t="n">
        <f aca="false">IF(I307&gt;Assumptions!$B$5,H307,0)</f>
        <v>0</v>
      </c>
      <c r="N307" s="13" t="n">
        <f aca="false">IF(I307&gt;Assumptions!$B$6,H307,0)</f>
        <v>0</v>
      </c>
    </row>
    <row r="308" customFormat="false" ht="15" hidden="false" customHeight="false" outlineLevel="0" collapsed="false">
      <c r="A308" s="22" t="s">
        <v>392</v>
      </c>
      <c r="B308" s="22" t="s">
        <v>49</v>
      </c>
      <c r="C308" s="22" t="s">
        <v>54</v>
      </c>
      <c r="D308" s="23" t="n">
        <v>45542</v>
      </c>
      <c r="E308" s="24" t="n">
        <v>388000</v>
      </c>
      <c r="F308" s="25" t="n">
        <v>0.15</v>
      </c>
      <c r="G308" s="22" t="n">
        <v>24</v>
      </c>
      <c r="H308" s="24" t="n">
        <v>279800</v>
      </c>
      <c r="I308" s="22" t="n">
        <v>0</v>
      </c>
      <c r="J308" s="12" t="str">
        <f aca="false">IF(I308&lt;=0,"Current",IF(I308&lt;=30,"01-30 days",IF(I308&lt;=90,"31-90 days",IF(I308&lt;=180,"91-180 days","180+ days"))))</f>
        <v>Current</v>
      </c>
      <c r="K308" s="14" t="n">
        <f aca="false">INDEX(Assumptions!$B$11:$B$15,MATCH(J308,Assumptions!$A$11:$A$15,0))</f>
        <v>0.01</v>
      </c>
      <c r="L308" s="13" t="n">
        <f aca="false">H308*K308</f>
        <v>2798</v>
      </c>
      <c r="M308" s="13" t="n">
        <f aca="false">IF(I308&gt;Assumptions!$B$5,H308,0)</f>
        <v>0</v>
      </c>
      <c r="N308" s="13" t="n">
        <f aca="false">IF(I308&gt;Assumptions!$B$6,H308,0)</f>
        <v>0</v>
      </c>
    </row>
    <row r="309" customFormat="false" ht="15" hidden="false" customHeight="false" outlineLevel="0" collapsed="false">
      <c r="A309" s="22" t="s">
        <v>393</v>
      </c>
      <c r="B309" s="22" t="s">
        <v>44</v>
      </c>
      <c r="C309" s="22" t="s">
        <v>54</v>
      </c>
      <c r="D309" s="23" t="n">
        <v>45689</v>
      </c>
      <c r="E309" s="24" t="n">
        <v>117000</v>
      </c>
      <c r="F309" s="25" t="n">
        <v>0.15</v>
      </c>
      <c r="G309" s="22" t="n">
        <v>24</v>
      </c>
      <c r="H309" s="24" t="n">
        <v>75500</v>
      </c>
      <c r="I309" s="22" t="n">
        <v>0</v>
      </c>
      <c r="J309" s="12" t="str">
        <f aca="false">IF(I309&lt;=0,"Current",IF(I309&lt;=30,"01-30 days",IF(I309&lt;=90,"31-90 days",IF(I309&lt;=180,"91-180 days","180+ days"))))</f>
        <v>Current</v>
      </c>
      <c r="K309" s="14" t="n">
        <f aca="false">INDEX(Assumptions!$B$11:$B$15,MATCH(J309,Assumptions!$A$11:$A$15,0))</f>
        <v>0.01</v>
      </c>
      <c r="L309" s="13" t="n">
        <f aca="false">H309*K309</f>
        <v>755</v>
      </c>
      <c r="M309" s="13" t="n">
        <f aca="false">IF(I309&gt;Assumptions!$B$5,H309,0)</f>
        <v>0</v>
      </c>
      <c r="N309" s="13" t="n">
        <f aca="false">IF(I309&gt;Assumptions!$B$6,H309,0)</f>
        <v>0</v>
      </c>
    </row>
    <row r="310" customFormat="false" ht="15" hidden="false" customHeight="false" outlineLevel="0" collapsed="false">
      <c r="A310" s="22" t="s">
        <v>394</v>
      </c>
      <c r="B310" s="22" t="s">
        <v>46</v>
      </c>
      <c r="C310" s="22" t="s">
        <v>54</v>
      </c>
      <c r="D310" s="23" t="n">
        <v>45896</v>
      </c>
      <c r="E310" s="24" t="n">
        <v>102000</v>
      </c>
      <c r="F310" s="25" t="n">
        <v>0.15</v>
      </c>
      <c r="G310" s="22" t="n">
        <v>24</v>
      </c>
      <c r="H310" s="24" t="n">
        <v>83200</v>
      </c>
      <c r="I310" s="22" t="n">
        <v>0</v>
      </c>
      <c r="J310" s="12" t="str">
        <f aca="false">IF(I310&lt;=0,"Current",IF(I310&lt;=30,"01-30 days",IF(I310&lt;=90,"31-90 days",IF(I310&lt;=180,"91-180 days","180+ days"))))</f>
        <v>Current</v>
      </c>
      <c r="K310" s="14" t="n">
        <f aca="false">INDEX(Assumptions!$B$11:$B$15,MATCH(J310,Assumptions!$A$11:$A$15,0))</f>
        <v>0.01</v>
      </c>
      <c r="L310" s="13" t="n">
        <f aca="false">H310*K310</f>
        <v>832</v>
      </c>
      <c r="M310" s="13" t="n">
        <f aca="false">IF(I310&gt;Assumptions!$B$5,H310,0)</f>
        <v>0</v>
      </c>
      <c r="N310" s="13" t="n">
        <f aca="false">IF(I310&gt;Assumptions!$B$6,H310,0)</f>
        <v>0</v>
      </c>
    </row>
    <row r="311" customFormat="false" ht="15" hidden="false" customHeight="false" outlineLevel="0" collapsed="false">
      <c r="A311" s="22" t="s">
        <v>395</v>
      </c>
      <c r="B311" s="22" t="s">
        <v>44</v>
      </c>
      <c r="C311" s="22" t="s">
        <v>52</v>
      </c>
      <c r="D311" s="23" t="n">
        <v>45977</v>
      </c>
      <c r="E311" s="24" t="n">
        <v>564000</v>
      </c>
      <c r="F311" s="25" t="n">
        <v>0.14</v>
      </c>
      <c r="G311" s="22" t="n">
        <v>36</v>
      </c>
      <c r="H311" s="24" t="n">
        <v>492000</v>
      </c>
      <c r="I311" s="22" t="n">
        <v>138</v>
      </c>
      <c r="J311" s="12" t="str">
        <f aca="false">IF(I311&lt;=0,"Current",IF(I311&lt;=30,"01-30 days",IF(I311&lt;=90,"31-90 days",IF(I311&lt;=180,"91-180 days","180+ days"))))</f>
        <v>91-180 days</v>
      </c>
      <c r="K311" s="14" t="n">
        <f aca="false">INDEX(Assumptions!$B$11:$B$15,MATCH(J311,Assumptions!$A$11:$A$15,0))</f>
        <v>0.5</v>
      </c>
      <c r="L311" s="13" t="n">
        <f aca="false">H311*K311</f>
        <v>246000</v>
      </c>
      <c r="M311" s="13" t="n">
        <f aca="false">IF(I311&gt;Assumptions!$B$5,H311,0)</f>
        <v>492000</v>
      </c>
      <c r="N311" s="13" t="n">
        <f aca="false">IF(I311&gt;Assumptions!$B$6,H311,0)</f>
        <v>492000</v>
      </c>
    </row>
    <row r="312" customFormat="false" ht="15" hidden="false" customHeight="false" outlineLevel="0" collapsed="false">
      <c r="A312" s="22" t="s">
        <v>396</v>
      </c>
      <c r="B312" s="22" t="s">
        <v>47</v>
      </c>
      <c r="C312" s="22" t="s">
        <v>52</v>
      </c>
      <c r="D312" s="23" t="n">
        <v>45662</v>
      </c>
      <c r="E312" s="24" t="n">
        <v>784000</v>
      </c>
      <c r="F312" s="25" t="n">
        <v>0.14</v>
      </c>
      <c r="G312" s="22" t="n">
        <v>36</v>
      </c>
      <c r="H312" s="24" t="n">
        <v>529000</v>
      </c>
      <c r="I312" s="22" t="n">
        <v>0</v>
      </c>
      <c r="J312" s="12" t="str">
        <f aca="false">IF(I312&lt;=0,"Current",IF(I312&lt;=30,"01-30 days",IF(I312&lt;=90,"31-90 days",IF(I312&lt;=180,"91-180 days","180+ days"))))</f>
        <v>Current</v>
      </c>
      <c r="K312" s="14" t="n">
        <f aca="false">INDEX(Assumptions!$B$11:$B$15,MATCH(J312,Assumptions!$A$11:$A$15,0))</f>
        <v>0.01</v>
      </c>
      <c r="L312" s="13" t="n">
        <f aca="false">H312*K312</f>
        <v>5290</v>
      </c>
      <c r="M312" s="13" t="n">
        <f aca="false">IF(I312&gt;Assumptions!$B$5,H312,0)</f>
        <v>0</v>
      </c>
      <c r="N312" s="13" t="n">
        <f aca="false">IF(I312&gt;Assumptions!$B$6,H312,0)</f>
        <v>0</v>
      </c>
    </row>
    <row r="313" customFormat="false" ht="15" hidden="false" customHeight="false" outlineLevel="0" collapsed="false">
      <c r="A313" s="22" t="s">
        <v>397</v>
      </c>
      <c r="B313" s="22" t="s">
        <v>44</v>
      </c>
      <c r="C313" s="22" t="s">
        <v>56</v>
      </c>
      <c r="D313" s="23" t="n">
        <v>45354</v>
      </c>
      <c r="E313" s="24" t="n">
        <v>847000</v>
      </c>
      <c r="F313" s="25" t="n">
        <v>0.16</v>
      </c>
      <c r="G313" s="22" t="n">
        <v>48</v>
      </c>
      <c r="H313" s="24" t="n">
        <v>474100</v>
      </c>
      <c r="I313" s="22" t="n">
        <v>0</v>
      </c>
      <c r="J313" s="12" t="str">
        <f aca="false">IF(I313&lt;=0,"Current",IF(I313&lt;=30,"01-30 days",IF(I313&lt;=90,"31-90 days",IF(I313&lt;=180,"91-180 days","180+ days"))))</f>
        <v>Current</v>
      </c>
      <c r="K313" s="14" t="n">
        <f aca="false">INDEX(Assumptions!$B$11:$B$15,MATCH(J313,Assumptions!$A$11:$A$15,0))</f>
        <v>0.01</v>
      </c>
      <c r="L313" s="13" t="n">
        <f aca="false">H313*K313</f>
        <v>4741</v>
      </c>
      <c r="M313" s="13" t="n">
        <f aca="false">IF(I313&gt;Assumptions!$B$5,H313,0)</f>
        <v>0</v>
      </c>
      <c r="N313" s="13" t="n">
        <f aca="false">IF(I313&gt;Assumptions!$B$6,H313,0)</f>
        <v>0</v>
      </c>
    </row>
    <row r="314" customFormat="false" ht="15" hidden="false" customHeight="false" outlineLevel="0" collapsed="false">
      <c r="A314" s="22" t="s">
        <v>398</v>
      </c>
      <c r="B314" s="22" t="s">
        <v>49</v>
      </c>
      <c r="C314" s="22" t="s">
        <v>52</v>
      </c>
      <c r="D314" s="23" t="n">
        <v>45846</v>
      </c>
      <c r="E314" s="24" t="n">
        <v>504000</v>
      </c>
      <c r="F314" s="25" t="n">
        <v>0.14</v>
      </c>
      <c r="G314" s="22" t="n">
        <v>36</v>
      </c>
      <c r="H314" s="24" t="n">
        <v>264600</v>
      </c>
      <c r="I314" s="22" t="n">
        <v>0</v>
      </c>
      <c r="J314" s="12" t="str">
        <f aca="false">IF(I314&lt;=0,"Current",IF(I314&lt;=30,"01-30 days",IF(I314&lt;=90,"31-90 days",IF(I314&lt;=180,"91-180 days","180+ days"))))</f>
        <v>Current</v>
      </c>
      <c r="K314" s="14" t="n">
        <f aca="false">INDEX(Assumptions!$B$11:$B$15,MATCH(J314,Assumptions!$A$11:$A$15,0))</f>
        <v>0.01</v>
      </c>
      <c r="L314" s="13" t="n">
        <f aca="false">H314*K314</f>
        <v>2646</v>
      </c>
      <c r="M314" s="13" t="n">
        <f aca="false">IF(I314&gt;Assumptions!$B$5,H314,0)</f>
        <v>0</v>
      </c>
      <c r="N314" s="13" t="n">
        <f aca="false">IF(I314&gt;Assumptions!$B$6,H314,0)</f>
        <v>0</v>
      </c>
    </row>
    <row r="315" customFormat="false" ht="15" hidden="false" customHeight="false" outlineLevel="0" collapsed="false">
      <c r="A315" s="22" t="s">
        <v>399</v>
      </c>
      <c r="B315" s="22" t="s">
        <v>48</v>
      </c>
      <c r="C315" s="22" t="s">
        <v>52</v>
      </c>
      <c r="D315" s="23" t="n">
        <v>46101</v>
      </c>
      <c r="E315" s="24" t="n">
        <v>168000</v>
      </c>
      <c r="F315" s="25" t="n">
        <v>0.14</v>
      </c>
      <c r="G315" s="22" t="n">
        <v>36</v>
      </c>
      <c r="H315" s="24" t="n">
        <v>159600</v>
      </c>
      <c r="I315" s="22" t="n">
        <v>0</v>
      </c>
      <c r="J315" s="12" t="str">
        <f aca="false">IF(I315&lt;=0,"Current",IF(I315&lt;=30,"01-30 days",IF(I315&lt;=90,"31-90 days",IF(I315&lt;=180,"91-180 days","180+ days"))))</f>
        <v>Current</v>
      </c>
      <c r="K315" s="14" t="n">
        <f aca="false">INDEX(Assumptions!$B$11:$B$15,MATCH(J315,Assumptions!$A$11:$A$15,0))</f>
        <v>0.01</v>
      </c>
      <c r="L315" s="13" t="n">
        <f aca="false">H315*K315</f>
        <v>1596</v>
      </c>
      <c r="M315" s="13" t="n">
        <f aca="false">IF(I315&gt;Assumptions!$B$5,H315,0)</f>
        <v>0</v>
      </c>
      <c r="N315" s="13" t="n">
        <f aca="false">IF(I315&gt;Assumptions!$B$6,H315,0)</f>
        <v>0</v>
      </c>
    </row>
    <row r="316" customFormat="false" ht="15" hidden="false" customHeight="false" outlineLevel="0" collapsed="false">
      <c r="A316" s="22" t="s">
        <v>400</v>
      </c>
      <c r="B316" s="22" t="s">
        <v>47</v>
      </c>
      <c r="C316" s="22" t="s">
        <v>53</v>
      </c>
      <c r="D316" s="23" t="n">
        <v>45819</v>
      </c>
      <c r="E316" s="24" t="n">
        <v>73000</v>
      </c>
      <c r="F316" s="25" t="n">
        <v>0.18</v>
      </c>
      <c r="G316" s="22" t="n">
        <v>6</v>
      </c>
      <c r="H316" s="24" t="n">
        <v>41800</v>
      </c>
      <c r="I316" s="22" t="n">
        <v>0</v>
      </c>
      <c r="J316" s="12" t="str">
        <f aca="false">IF(I316&lt;=0,"Current",IF(I316&lt;=30,"01-30 days",IF(I316&lt;=90,"31-90 days",IF(I316&lt;=180,"91-180 days","180+ days"))))</f>
        <v>Current</v>
      </c>
      <c r="K316" s="14" t="n">
        <f aca="false">INDEX(Assumptions!$B$11:$B$15,MATCH(J316,Assumptions!$A$11:$A$15,0))</f>
        <v>0.01</v>
      </c>
      <c r="L316" s="13" t="n">
        <f aca="false">H316*K316</f>
        <v>418</v>
      </c>
      <c r="M316" s="13" t="n">
        <f aca="false">IF(I316&gt;Assumptions!$B$5,H316,0)</f>
        <v>0</v>
      </c>
      <c r="N316" s="13" t="n">
        <f aca="false">IF(I316&gt;Assumptions!$B$6,H316,0)</f>
        <v>0</v>
      </c>
    </row>
    <row r="317" customFormat="false" ht="15" hidden="false" customHeight="false" outlineLevel="0" collapsed="false">
      <c r="A317" s="22" t="s">
        <v>401</v>
      </c>
      <c r="B317" s="22" t="s">
        <v>45</v>
      </c>
      <c r="C317" s="22" t="s">
        <v>52</v>
      </c>
      <c r="D317" s="23" t="n">
        <v>45929</v>
      </c>
      <c r="E317" s="24" t="n">
        <v>103000</v>
      </c>
      <c r="F317" s="25" t="n">
        <v>0.14</v>
      </c>
      <c r="G317" s="22" t="n">
        <v>36</v>
      </c>
      <c r="H317" s="24" t="n">
        <v>33500</v>
      </c>
      <c r="I317" s="22" t="n">
        <v>0</v>
      </c>
      <c r="J317" s="12" t="str">
        <f aca="false">IF(I317&lt;=0,"Current",IF(I317&lt;=30,"01-30 days",IF(I317&lt;=90,"31-90 days",IF(I317&lt;=180,"91-180 days","180+ days"))))</f>
        <v>Current</v>
      </c>
      <c r="K317" s="14" t="n">
        <f aca="false">INDEX(Assumptions!$B$11:$B$15,MATCH(J317,Assumptions!$A$11:$A$15,0))</f>
        <v>0.01</v>
      </c>
      <c r="L317" s="13" t="n">
        <f aca="false">H317*K317</f>
        <v>335</v>
      </c>
      <c r="M317" s="13" t="n">
        <f aca="false">IF(I317&gt;Assumptions!$B$5,H317,0)</f>
        <v>0</v>
      </c>
      <c r="N317" s="13" t="n">
        <f aca="false">IF(I317&gt;Assumptions!$B$6,H317,0)</f>
        <v>0</v>
      </c>
    </row>
    <row r="318" customFormat="false" ht="15" hidden="false" customHeight="false" outlineLevel="0" collapsed="false">
      <c r="A318" s="22" t="s">
        <v>402</v>
      </c>
      <c r="B318" s="22" t="s">
        <v>48</v>
      </c>
      <c r="C318" s="22" t="s">
        <v>54</v>
      </c>
      <c r="D318" s="23" t="n">
        <v>46086</v>
      </c>
      <c r="E318" s="24" t="n">
        <v>389000</v>
      </c>
      <c r="F318" s="25" t="n">
        <v>0.15</v>
      </c>
      <c r="G318" s="22" t="n">
        <v>24</v>
      </c>
      <c r="H318" s="24" t="n">
        <v>314500</v>
      </c>
      <c r="I318" s="22" t="n">
        <v>0</v>
      </c>
      <c r="J318" s="12" t="str">
        <f aca="false">IF(I318&lt;=0,"Current",IF(I318&lt;=30,"01-30 days",IF(I318&lt;=90,"31-90 days",IF(I318&lt;=180,"91-180 days","180+ days"))))</f>
        <v>Current</v>
      </c>
      <c r="K318" s="14" t="n">
        <f aca="false">INDEX(Assumptions!$B$11:$B$15,MATCH(J318,Assumptions!$A$11:$A$15,0))</f>
        <v>0.01</v>
      </c>
      <c r="L318" s="13" t="n">
        <f aca="false">H318*K318</f>
        <v>3145</v>
      </c>
      <c r="M318" s="13" t="n">
        <f aca="false">IF(I318&gt;Assumptions!$B$5,H318,0)</f>
        <v>0</v>
      </c>
      <c r="N318" s="13" t="n">
        <f aca="false">IF(I318&gt;Assumptions!$B$6,H318,0)</f>
        <v>0</v>
      </c>
    </row>
    <row r="319" customFormat="false" ht="15" hidden="false" customHeight="false" outlineLevel="0" collapsed="false">
      <c r="A319" s="22" t="s">
        <v>403</v>
      </c>
      <c r="B319" s="22" t="s">
        <v>49</v>
      </c>
      <c r="C319" s="22" t="s">
        <v>55</v>
      </c>
      <c r="D319" s="23" t="n">
        <v>45666</v>
      </c>
      <c r="E319" s="24" t="n">
        <v>149000</v>
      </c>
      <c r="F319" s="25" t="n">
        <v>0.12</v>
      </c>
      <c r="G319" s="22" t="n">
        <v>12</v>
      </c>
      <c r="H319" s="24" t="n">
        <v>47200</v>
      </c>
      <c r="I319" s="22" t="n">
        <v>0</v>
      </c>
      <c r="J319" s="12" t="str">
        <f aca="false">IF(I319&lt;=0,"Current",IF(I319&lt;=30,"01-30 days",IF(I319&lt;=90,"31-90 days",IF(I319&lt;=180,"91-180 days","180+ days"))))</f>
        <v>Current</v>
      </c>
      <c r="K319" s="14" t="n">
        <f aca="false">INDEX(Assumptions!$B$11:$B$15,MATCH(J319,Assumptions!$A$11:$A$15,0))</f>
        <v>0.01</v>
      </c>
      <c r="L319" s="13" t="n">
        <f aca="false">H319*K319</f>
        <v>472</v>
      </c>
      <c r="M319" s="13" t="n">
        <f aca="false">IF(I319&gt;Assumptions!$B$5,H319,0)</f>
        <v>0</v>
      </c>
      <c r="N319" s="13" t="n">
        <f aca="false">IF(I319&gt;Assumptions!$B$6,H319,0)</f>
        <v>0</v>
      </c>
    </row>
    <row r="320" customFormat="false" ht="15" hidden="false" customHeight="false" outlineLevel="0" collapsed="false">
      <c r="A320" s="22" t="s">
        <v>404</v>
      </c>
      <c r="B320" s="22" t="s">
        <v>49</v>
      </c>
      <c r="C320" s="22" t="s">
        <v>52</v>
      </c>
      <c r="D320" s="23" t="n">
        <v>45838</v>
      </c>
      <c r="E320" s="24" t="n">
        <v>211000</v>
      </c>
      <c r="F320" s="25" t="n">
        <v>0.14</v>
      </c>
      <c r="G320" s="22" t="n">
        <v>36</v>
      </c>
      <c r="H320" s="24" t="n">
        <v>97800</v>
      </c>
      <c r="I320" s="22" t="n">
        <v>0</v>
      </c>
      <c r="J320" s="12" t="str">
        <f aca="false">IF(I320&lt;=0,"Current",IF(I320&lt;=30,"01-30 days",IF(I320&lt;=90,"31-90 days",IF(I320&lt;=180,"91-180 days","180+ days"))))</f>
        <v>Current</v>
      </c>
      <c r="K320" s="14" t="n">
        <f aca="false">INDEX(Assumptions!$B$11:$B$15,MATCH(J320,Assumptions!$A$11:$A$15,0))</f>
        <v>0.01</v>
      </c>
      <c r="L320" s="13" t="n">
        <f aca="false">H320*K320</f>
        <v>978</v>
      </c>
      <c r="M320" s="13" t="n">
        <f aca="false">IF(I320&gt;Assumptions!$B$5,H320,0)</f>
        <v>0</v>
      </c>
      <c r="N320" s="13" t="n">
        <f aca="false">IF(I320&gt;Assumptions!$B$6,H320,0)</f>
        <v>0</v>
      </c>
    </row>
    <row r="321" customFormat="false" ht="15" hidden="false" customHeight="false" outlineLevel="0" collapsed="false">
      <c r="A321" s="22" t="s">
        <v>405</v>
      </c>
      <c r="B321" s="22" t="s">
        <v>49</v>
      </c>
      <c r="C321" s="22" t="s">
        <v>52</v>
      </c>
      <c r="D321" s="23" t="n">
        <v>45361</v>
      </c>
      <c r="E321" s="24" t="n">
        <v>408000</v>
      </c>
      <c r="F321" s="25" t="n">
        <v>0.14</v>
      </c>
      <c r="G321" s="22" t="n">
        <v>36</v>
      </c>
      <c r="H321" s="24" t="n">
        <v>387300</v>
      </c>
      <c r="I321" s="22" t="n">
        <v>0</v>
      </c>
      <c r="J321" s="12" t="str">
        <f aca="false">IF(I321&lt;=0,"Current",IF(I321&lt;=30,"01-30 days",IF(I321&lt;=90,"31-90 days",IF(I321&lt;=180,"91-180 days","180+ days"))))</f>
        <v>Current</v>
      </c>
      <c r="K321" s="14" t="n">
        <f aca="false">INDEX(Assumptions!$B$11:$B$15,MATCH(J321,Assumptions!$A$11:$A$15,0))</f>
        <v>0.01</v>
      </c>
      <c r="L321" s="13" t="n">
        <f aca="false">H321*K321</f>
        <v>3873</v>
      </c>
      <c r="M321" s="13" t="n">
        <f aca="false">IF(I321&gt;Assumptions!$B$5,H321,0)</f>
        <v>0</v>
      </c>
      <c r="N321" s="13" t="n">
        <f aca="false">IF(I321&gt;Assumptions!$B$6,H321,0)</f>
        <v>0</v>
      </c>
    </row>
    <row r="322" customFormat="false" ht="15" hidden="false" customHeight="false" outlineLevel="0" collapsed="false">
      <c r="A322" s="22" t="s">
        <v>406</v>
      </c>
      <c r="B322" s="22" t="s">
        <v>47</v>
      </c>
      <c r="C322" s="22" t="s">
        <v>53</v>
      </c>
      <c r="D322" s="23" t="n">
        <v>45653</v>
      </c>
      <c r="E322" s="24" t="n">
        <v>42000</v>
      </c>
      <c r="F322" s="25" t="n">
        <v>0.18</v>
      </c>
      <c r="G322" s="22" t="n">
        <v>6</v>
      </c>
      <c r="H322" s="24" t="n">
        <v>24500</v>
      </c>
      <c r="I322" s="22" t="n">
        <v>0</v>
      </c>
      <c r="J322" s="12" t="str">
        <f aca="false">IF(I322&lt;=0,"Current",IF(I322&lt;=30,"01-30 days",IF(I322&lt;=90,"31-90 days",IF(I322&lt;=180,"91-180 days","180+ days"))))</f>
        <v>Current</v>
      </c>
      <c r="K322" s="14" t="n">
        <f aca="false">INDEX(Assumptions!$B$11:$B$15,MATCH(J322,Assumptions!$A$11:$A$15,0))</f>
        <v>0.01</v>
      </c>
      <c r="L322" s="13" t="n">
        <f aca="false">H322*K322</f>
        <v>245</v>
      </c>
      <c r="M322" s="13" t="n">
        <f aca="false">IF(I322&gt;Assumptions!$B$5,H322,0)</f>
        <v>0</v>
      </c>
      <c r="N322" s="13" t="n">
        <f aca="false">IF(I322&gt;Assumptions!$B$6,H322,0)</f>
        <v>0</v>
      </c>
    </row>
    <row r="323" customFormat="false" ht="15" hidden="false" customHeight="false" outlineLevel="0" collapsed="false">
      <c r="A323" s="22" t="s">
        <v>407</v>
      </c>
      <c r="B323" s="22" t="s">
        <v>48</v>
      </c>
      <c r="C323" s="22" t="s">
        <v>53</v>
      </c>
      <c r="D323" s="23" t="n">
        <v>45895</v>
      </c>
      <c r="E323" s="24" t="n">
        <v>125000</v>
      </c>
      <c r="F323" s="25" t="n">
        <v>0.18</v>
      </c>
      <c r="G323" s="22" t="n">
        <v>6</v>
      </c>
      <c r="H323" s="24" t="n">
        <v>68700</v>
      </c>
      <c r="I323" s="22" t="n">
        <v>0</v>
      </c>
      <c r="J323" s="12" t="str">
        <f aca="false">IF(I323&lt;=0,"Current",IF(I323&lt;=30,"01-30 days",IF(I323&lt;=90,"31-90 days",IF(I323&lt;=180,"91-180 days","180+ days"))))</f>
        <v>Current</v>
      </c>
      <c r="K323" s="14" t="n">
        <f aca="false">INDEX(Assumptions!$B$11:$B$15,MATCH(J323,Assumptions!$A$11:$A$15,0))</f>
        <v>0.01</v>
      </c>
      <c r="L323" s="13" t="n">
        <f aca="false">H323*K323</f>
        <v>687</v>
      </c>
      <c r="M323" s="13" t="n">
        <f aca="false">IF(I323&gt;Assumptions!$B$5,H323,0)</f>
        <v>0</v>
      </c>
      <c r="N323" s="13" t="n">
        <f aca="false">IF(I323&gt;Assumptions!$B$6,H323,0)</f>
        <v>0</v>
      </c>
    </row>
    <row r="324" customFormat="false" ht="15" hidden="false" customHeight="false" outlineLevel="0" collapsed="false">
      <c r="A324" s="22" t="s">
        <v>408</v>
      </c>
      <c r="B324" s="22" t="s">
        <v>46</v>
      </c>
      <c r="C324" s="22" t="s">
        <v>56</v>
      </c>
      <c r="D324" s="23" t="n">
        <v>45398</v>
      </c>
      <c r="E324" s="24" t="n">
        <v>414000</v>
      </c>
      <c r="F324" s="25" t="n">
        <v>0.16</v>
      </c>
      <c r="G324" s="22" t="n">
        <v>48</v>
      </c>
      <c r="H324" s="24" t="n">
        <v>225400</v>
      </c>
      <c r="I324" s="22" t="n">
        <v>0</v>
      </c>
      <c r="J324" s="12" t="str">
        <f aca="false">IF(I324&lt;=0,"Current",IF(I324&lt;=30,"01-30 days",IF(I324&lt;=90,"31-90 days",IF(I324&lt;=180,"91-180 days","180+ days"))))</f>
        <v>Current</v>
      </c>
      <c r="K324" s="14" t="n">
        <f aca="false">INDEX(Assumptions!$B$11:$B$15,MATCH(J324,Assumptions!$A$11:$A$15,0))</f>
        <v>0.01</v>
      </c>
      <c r="L324" s="13" t="n">
        <f aca="false">H324*K324</f>
        <v>2254</v>
      </c>
      <c r="M324" s="13" t="n">
        <f aca="false">IF(I324&gt;Assumptions!$B$5,H324,0)</f>
        <v>0</v>
      </c>
      <c r="N324" s="13" t="n">
        <f aca="false">IF(I324&gt;Assumptions!$B$6,H324,0)</f>
        <v>0</v>
      </c>
    </row>
    <row r="325" customFormat="false" ht="15" hidden="false" customHeight="false" outlineLevel="0" collapsed="false">
      <c r="A325" s="22" t="s">
        <v>409</v>
      </c>
      <c r="B325" s="22" t="s">
        <v>48</v>
      </c>
      <c r="C325" s="22" t="s">
        <v>56</v>
      </c>
      <c r="D325" s="23" t="n">
        <v>45469</v>
      </c>
      <c r="E325" s="24" t="n">
        <v>517000</v>
      </c>
      <c r="F325" s="25" t="n">
        <v>0.16</v>
      </c>
      <c r="G325" s="22" t="n">
        <v>48</v>
      </c>
      <c r="H325" s="24" t="n">
        <v>159200</v>
      </c>
      <c r="I325" s="22" t="n">
        <v>0</v>
      </c>
      <c r="J325" s="12" t="str">
        <f aca="false">IF(I325&lt;=0,"Current",IF(I325&lt;=30,"01-30 days",IF(I325&lt;=90,"31-90 days",IF(I325&lt;=180,"91-180 days","180+ days"))))</f>
        <v>Current</v>
      </c>
      <c r="K325" s="14" t="n">
        <f aca="false">INDEX(Assumptions!$B$11:$B$15,MATCH(J325,Assumptions!$A$11:$A$15,0))</f>
        <v>0.01</v>
      </c>
      <c r="L325" s="13" t="n">
        <f aca="false">H325*K325</f>
        <v>1592</v>
      </c>
      <c r="M325" s="13" t="n">
        <f aca="false">IF(I325&gt;Assumptions!$B$5,H325,0)</f>
        <v>0</v>
      </c>
      <c r="N325" s="13" t="n">
        <f aca="false">IF(I325&gt;Assumptions!$B$6,H325,0)</f>
        <v>0</v>
      </c>
    </row>
    <row r="326" customFormat="false" ht="15" hidden="false" customHeight="false" outlineLevel="0" collapsed="false">
      <c r="A326" s="22" t="s">
        <v>410</v>
      </c>
      <c r="B326" s="22" t="s">
        <v>46</v>
      </c>
      <c r="C326" s="22" t="s">
        <v>56</v>
      </c>
      <c r="D326" s="23" t="n">
        <v>45677</v>
      </c>
      <c r="E326" s="24" t="n">
        <v>443000</v>
      </c>
      <c r="F326" s="25" t="n">
        <v>0.16</v>
      </c>
      <c r="G326" s="22" t="n">
        <v>48</v>
      </c>
      <c r="H326" s="24" t="n">
        <v>225900</v>
      </c>
      <c r="I326" s="22" t="n">
        <v>105</v>
      </c>
      <c r="J326" s="12" t="str">
        <f aca="false">IF(I326&lt;=0,"Current",IF(I326&lt;=30,"01-30 days",IF(I326&lt;=90,"31-90 days",IF(I326&lt;=180,"91-180 days","180+ days"))))</f>
        <v>91-180 days</v>
      </c>
      <c r="K326" s="14" t="n">
        <f aca="false">INDEX(Assumptions!$B$11:$B$15,MATCH(J326,Assumptions!$A$11:$A$15,0))</f>
        <v>0.5</v>
      </c>
      <c r="L326" s="13" t="n">
        <f aca="false">H326*K326</f>
        <v>112950</v>
      </c>
      <c r="M326" s="13" t="n">
        <f aca="false">IF(I326&gt;Assumptions!$B$5,H326,0)</f>
        <v>225900</v>
      </c>
      <c r="N326" s="13" t="n">
        <f aca="false">IF(I326&gt;Assumptions!$B$6,H326,0)</f>
        <v>225900</v>
      </c>
    </row>
    <row r="327" customFormat="false" ht="15" hidden="false" customHeight="false" outlineLevel="0" collapsed="false">
      <c r="A327" s="22" t="s">
        <v>411</v>
      </c>
      <c r="B327" s="22" t="s">
        <v>44</v>
      </c>
      <c r="C327" s="22" t="s">
        <v>56</v>
      </c>
      <c r="D327" s="23" t="n">
        <v>46086</v>
      </c>
      <c r="E327" s="24" t="n">
        <v>1466000</v>
      </c>
      <c r="F327" s="25" t="n">
        <v>0.16</v>
      </c>
      <c r="G327" s="22" t="n">
        <v>48</v>
      </c>
      <c r="H327" s="24" t="n">
        <v>324600</v>
      </c>
      <c r="I327" s="22" t="n">
        <v>160</v>
      </c>
      <c r="J327" s="12" t="str">
        <f aca="false">IF(I327&lt;=0,"Current",IF(I327&lt;=30,"01-30 days",IF(I327&lt;=90,"31-90 days",IF(I327&lt;=180,"91-180 days","180+ days"))))</f>
        <v>91-180 days</v>
      </c>
      <c r="K327" s="14" t="n">
        <f aca="false">INDEX(Assumptions!$B$11:$B$15,MATCH(J327,Assumptions!$A$11:$A$15,0))</f>
        <v>0.5</v>
      </c>
      <c r="L327" s="13" t="n">
        <f aca="false">H327*K327</f>
        <v>162300</v>
      </c>
      <c r="M327" s="13" t="n">
        <f aca="false">IF(I327&gt;Assumptions!$B$5,H327,0)</f>
        <v>324600</v>
      </c>
      <c r="N327" s="13" t="n">
        <f aca="false">IF(I327&gt;Assumptions!$B$6,H327,0)</f>
        <v>324600</v>
      </c>
    </row>
    <row r="328" customFormat="false" ht="15" hidden="false" customHeight="false" outlineLevel="0" collapsed="false">
      <c r="A328" s="22" t="s">
        <v>412</v>
      </c>
      <c r="B328" s="22" t="s">
        <v>44</v>
      </c>
      <c r="C328" s="22" t="s">
        <v>55</v>
      </c>
      <c r="D328" s="23" t="n">
        <v>45406</v>
      </c>
      <c r="E328" s="24" t="n">
        <v>106000</v>
      </c>
      <c r="F328" s="25" t="n">
        <v>0.12</v>
      </c>
      <c r="G328" s="22" t="n">
        <v>12</v>
      </c>
      <c r="H328" s="24" t="n">
        <v>27400</v>
      </c>
      <c r="I328" s="22" t="n">
        <v>0</v>
      </c>
      <c r="J328" s="12" t="str">
        <f aca="false">IF(I328&lt;=0,"Current",IF(I328&lt;=30,"01-30 days",IF(I328&lt;=90,"31-90 days",IF(I328&lt;=180,"91-180 days","180+ days"))))</f>
        <v>Current</v>
      </c>
      <c r="K328" s="14" t="n">
        <f aca="false">INDEX(Assumptions!$B$11:$B$15,MATCH(J328,Assumptions!$A$11:$A$15,0))</f>
        <v>0.01</v>
      </c>
      <c r="L328" s="13" t="n">
        <f aca="false">H328*K328</f>
        <v>274</v>
      </c>
      <c r="M328" s="13" t="n">
        <f aca="false">IF(I328&gt;Assumptions!$B$5,H328,0)</f>
        <v>0</v>
      </c>
      <c r="N328" s="13" t="n">
        <f aca="false">IF(I328&gt;Assumptions!$B$6,H328,0)</f>
        <v>0</v>
      </c>
    </row>
    <row r="329" customFormat="false" ht="15" hidden="false" customHeight="false" outlineLevel="0" collapsed="false">
      <c r="A329" s="22" t="s">
        <v>413</v>
      </c>
      <c r="B329" s="22" t="s">
        <v>47</v>
      </c>
      <c r="C329" s="22" t="s">
        <v>55</v>
      </c>
      <c r="D329" s="23" t="n">
        <v>46199</v>
      </c>
      <c r="E329" s="24" t="n">
        <v>114000</v>
      </c>
      <c r="F329" s="25" t="n">
        <v>0.12</v>
      </c>
      <c r="G329" s="22" t="n">
        <v>12</v>
      </c>
      <c r="H329" s="24" t="n">
        <v>99400</v>
      </c>
      <c r="I329" s="22" t="n">
        <v>0</v>
      </c>
      <c r="J329" s="12" t="str">
        <f aca="false">IF(I329&lt;=0,"Current",IF(I329&lt;=30,"01-30 days",IF(I329&lt;=90,"31-90 days",IF(I329&lt;=180,"91-180 days","180+ days"))))</f>
        <v>Current</v>
      </c>
      <c r="K329" s="14" t="n">
        <f aca="false">INDEX(Assumptions!$B$11:$B$15,MATCH(J329,Assumptions!$A$11:$A$15,0))</f>
        <v>0.01</v>
      </c>
      <c r="L329" s="13" t="n">
        <f aca="false">H329*K329</f>
        <v>994</v>
      </c>
      <c r="M329" s="13" t="n">
        <f aca="false">IF(I329&gt;Assumptions!$B$5,H329,0)</f>
        <v>0</v>
      </c>
      <c r="N329" s="13" t="n">
        <f aca="false">IF(I329&gt;Assumptions!$B$6,H329,0)</f>
        <v>0</v>
      </c>
    </row>
    <row r="330" customFormat="false" ht="15" hidden="false" customHeight="false" outlineLevel="0" collapsed="false">
      <c r="A330" s="22" t="s">
        <v>414</v>
      </c>
      <c r="B330" s="22" t="s">
        <v>47</v>
      </c>
      <c r="C330" s="22" t="s">
        <v>53</v>
      </c>
      <c r="D330" s="23" t="n">
        <v>45517</v>
      </c>
      <c r="E330" s="24" t="n">
        <v>148000</v>
      </c>
      <c r="F330" s="25" t="n">
        <v>0.18</v>
      </c>
      <c r="G330" s="22" t="n">
        <v>6</v>
      </c>
      <c r="H330" s="24" t="n">
        <v>132500</v>
      </c>
      <c r="I330" s="22" t="n">
        <v>50</v>
      </c>
      <c r="J330" s="12" t="str">
        <f aca="false">IF(I330&lt;=0,"Current",IF(I330&lt;=30,"01-30 days",IF(I330&lt;=90,"31-90 days",IF(I330&lt;=180,"91-180 days","180+ days"))))</f>
        <v>31-90 days</v>
      </c>
      <c r="K330" s="14" t="n">
        <f aca="false">INDEX(Assumptions!$B$11:$B$15,MATCH(J330,Assumptions!$A$11:$A$15,0))</f>
        <v>0.25</v>
      </c>
      <c r="L330" s="13" t="n">
        <f aca="false">H330*K330</f>
        <v>33125</v>
      </c>
      <c r="M330" s="13" t="n">
        <f aca="false">IF(I330&gt;Assumptions!$B$5,H330,0)</f>
        <v>132500</v>
      </c>
      <c r="N330" s="13" t="n">
        <f aca="false">IF(I330&gt;Assumptions!$B$6,H330,0)</f>
        <v>0</v>
      </c>
    </row>
    <row r="331" customFormat="false" ht="15" hidden="false" customHeight="false" outlineLevel="0" collapsed="false">
      <c r="A331" s="22" t="s">
        <v>415</v>
      </c>
      <c r="B331" s="22" t="s">
        <v>45</v>
      </c>
      <c r="C331" s="22" t="s">
        <v>55</v>
      </c>
      <c r="D331" s="23" t="n">
        <v>45732</v>
      </c>
      <c r="E331" s="24" t="n">
        <v>232000</v>
      </c>
      <c r="F331" s="25" t="n">
        <v>0.12</v>
      </c>
      <c r="G331" s="22" t="n">
        <v>12</v>
      </c>
      <c r="H331" s="24" t="n">
        <v>129400</v>
      </c>
      <c r="I331" s="22" t="n">
        <v>0</v>
      </c>
      <c r="J331" s="12" t="str">
        <f aca="false">IF(I331&lt;=0,"Current",IF(I331&lt;=30,"01-30 days",IF(I331&lt;=90,"31-90 days",IF(I331&lt;=180,"91-180 days","180+ days"))))</f>
        <v>Current</v>
      </c>
      <c r="K331" s="14" t="n">
        <f aca="false">INDEX(Assumptions!$B$11:$B$15,MATCH(J331,Assumptions!$A$11:$A$15,0))</f>
        <v>0.01</v>
      </c>
      <c r="L331" s="13" t="n">
        <f aca="false">H331*K331</f>
        <v>1294</v>
      </c>
      <c r="M331" s="13" t="n">
        <f aca="false">IF(I331&gt;Assumptions!$B$5,H331,0)</f>
        <v>0</v>
      </c>
      <c r="N331" s="13" t="n">
        <f aca="false">IF(I331&gt;Assumptions!$B$6,H331,0)</f>
        <v>0</v>
      </c>
    </row>
    <row r="332" customFormat="false" ht="15" hidden="false" customHeight="false" outlineLevel="0" collapsed="false">
      <c r="A332" s="22" t="s">
        <v>416</v>
      </c>
      <c r="B332" s="22" t="s">
        <v>45</v>
      </c>
      <c r="C332" s="22" t="s">
        <v>52</v>
      </c>
      <c r="D332" s="23" t="n">
        <v>45459</v>
      </c>
      <c r="E332" s="24" t="n">
        <v>150000</v>
      </c>
      <c r="F332" s="25" t="n">
        <v>0.14</v>
      </c>
      <c r="G332" s="22" t="n">
        <v>36</v>
      </c>
      <c r="H332" s="24" t="n">
        <v>65000</v>
      </c>
      <c r="I332" s="22" t="n">
        <v>0</v>
      </c>
      <c r="J332" s="12" t="str">
        <f aca="false">IF(I332&lt;=0,"Current",IF(I332&lt;=30,"01-30 days",IF(I332&lt;=90,"31-90 days",IF(I332&lt;=180,"91-180 days","180+ days"))))</f>
        <v>Current</v>
      </c>
      <c r="K332" s="14" t="n">
        <f aca="false">INDEX(Assumptions!$B$11:$B$15,MATCH(J332,Assumptions!$A$11:$A$15,0))</f>
        <v>0.01</v>
      </c>
      <c r="L332" s="13" t="n">
        <f aca="false">H332*K332</f>
        <v>650</v>
      </c>
      <c r="M332" s="13" t="n">
        <f aca="false">IF(I332&gt;Assumptions!$B$5,H332,0)</f>
        <v>0</v>
      </c>
      <c r="N332" s="13" t="n">
        <f aca="false">IF(I332&gt;Assumptions!$B$6,H332,0)</f>
        <v>0</v>
      </c>
    </row>
    <row r="333" customFormat="false" ht="15" hidden="false" customHeight="false" outlineLevel="0" collapsed="false">
      <c r="A333" s="22" t="s">
        <v>417</v>
      </c>
      <c r="B333" s="22" t="s">
        <v>46</v>
      </c>
      <c r="C333" s="22" t="s">
        <v>56</v>
      </c>
      <c r="D333" s="23" t="n">
        <v>45787</v>
      </c>
      <c r="E333" s="24" t="n">
        <v>860000</v>
      </c>
      <c r="F333" s="25" t="n">
        <v>0.16</v>
      </c>
      <c r="G333" s="22" t="n">
        <v>48</v>
      </c>
      <c r="H333" s="24" t="n">
        <v>429800</v>
      </c>
      <c r="I333" s="22" t="n">
        <v>4</v>
      </c>
      <c r="J333" s="12" t="str">
        <f aca="false">IF(I333&lt;=0,"Current",IF(I333&lt;=30,"01-30 days",IF(I333&lt;=90,"31-90 days",IF(I333&lt;=180,"91-180 days","180+ days"))))</f>
        <v>01-30 days</v>
      </c>
      <c r="K333" s="14" t="n">
        <f aca="false">INDEX(Assumptions!$B$11:$B$15,MATCH(J333,Assumptions!$A$11:$A$15,0))</f>
        <v>0.05</v>
      </c>
      <c r="L333" s="13" t="n">
        <f aca="false">H333*K333</f>
        <v>21490</v>
      </c>
      <c r="M333" s="13" t="n">
        <f aca="false">IF(I333&gt;Assumptions!$B$5,H333,0)</f>
        <v>0</v>
      </c>
      <c r="N333" s="13" t="n">
        <f aca="false">IF(I333&gt;Assumptions!$B$6,H333,0)</f>
        <v>0</v>
      </c>
    </row>
    <row r="334" customFormat="false" ht="15" hidden="false" customHeight="false" outlineLevel="0" collapsed="false">
      <c r="A334" s="22" t="s">
        <v>418</v>
      </c>
      <c r="B334" s="22" t="s">
        <v>49</v>
      </c>
      <c r="C334" s="22" t="s">
        <v>56</v>
      </c>
      <c r="D334" s="23" t="n">
        <v>45657</v>
      </c>
      <c r="E334" s="24" t="n">
        <v>1279000</v>
      </c>
      <c r="F334" s="25" t="n">
        <v>0.16</v>
      </c>
      <c r="G334" s="22" t="n">
        <v>48</v>
      </c>
      <c r="H334" s="24" t="n">
        <v>723300</v>
      </c>
      <c r="I334" s="22" t="n">
        <v>68</v>
      </c>
      <c r="J334" s="12" t="str">
        <f aca="false">IF(I334&lt;=0,"Current",IF(I334&lt;=30,"01-30 days",IF(I334&lt;=90,"31-90 days",IF(I334&lt;=180,"91-180 days","180+ days"))))</f>
        <v>31-90 days</v>
      </c>
      <c r="K334" s="14" t="n">
        <f aca="false">INDEX(Assumptions!$B$11:$B$15,MATCH(J334,Assumptions!$A$11:$A$15,0))</f>
        <v>0.25</v>
      </c>
      <c r="L334" s="13" t="n">
        <f aca="false">H334*K334</f>
        <v>180825</v>
      </c>
      <c r="M334" s="13" t="n">
        <f aca="false">IF(I334&gt;Assumptions!$B$5,H334,0)</f>
        <v>723300</v>
      </c>
      <c r="N334" s="13" t="n">
        <f aca="false">IF(I334&gt;Assumptions!$B$6,H334,0)</f>
        <v>0</v>
      </c>
    </row>
    <row r="335" customFormat="false" ht="15" hidden="false" customHeight="false" outlineLevel="0" collapsed="false">
      <c r="A335" s="22" t="s">
        <v>419</v>
      </c>
      <c r="B335" s="22" t="s">
        <v>49</v>
      </c>
      <c r="C335" s="22" t="s">
        <v>54</v>
      </c>
      <c r="D335" s="23" t="n">
        <v>45506</v>
      </c>
      <c r="E335" s="24" t="n">
        <v>356000</v>
      </c>
      <c r="F335" s="25" t="n">
        <v>0.15</v>
      </c>
      <c r="G335" s="22" t="n">
        <v>24</v>
      </c>
      <c r="H335" s="24" t="n">
        <v>256400</v>
      </c>
      <c r="I335" s="22" t="n">
        <v>0</v>
      </c>
      <c r="J335" s="12" t="str">
        <f aca="false">IF(I335&lt;=0,"Current",IF(I335&lt;=30,"01-30 days",IF(I335&lt;=90,"31-90 days",IF(I335&lt;=180,"91-180 days","180+ days"))))</f>
        <v>Current</v>
      </c>
      <c r="K335" s="14" t="n">
        <f aca="false">INDEX(Assumptions!$B$11:$B$15,MATCH(J335,Assumptions!$A$11:$A$15,0))</f>
        <v>0.01</v>
      </c>
      <c r="L335" s="13" t="n">
        <f aca="false">H335*K335</f>
        <v>2564</v>
      </c>
      <c r="M335" s="13" t="n">
        <f aca="false">IF(I335&gt;Assumptions!$B$5,H335,0)</f>
        <v>0</v>
      </c>
      <c r="N335" s="13" t="n">
        <f aca="false">IF(I335&gt;Assumptions!$B$6,H335,0)</f>
        <v>0</v>
      </c>
    </row>
    <row r="336" customFormat="false" ht="15" hidden="false" customHeight="false" outlineLevel="0" collapsed="false">
      <c r="A336" s="22" t="s">
        <v>420</v>
      </c>
      <c r="B336" s="22" t="s">
        <v>47</v>
      </c>
      <c r="C336" s="22" t="s">
        <v>56</v>
      </c>
      <c r="D336" s="23" t="n">
        <v>45820</v>
      </c>
      <c r="E336" s="24" t="n">
        <v>314000</v>
      </c>
      <c r="F336" s="25" t="n">
        <v>0.16</v>
      </c>
      <c r="G336" s="22" t="n">
        <v>48</v>
      </c>
      <c r="H336" s="24" t="n">
        <v>137000</v>
      </c>
      <c r="I336" s="22" t="n">
        <v>0</v>
      </c>
      <c r="J336" s="12" t="str">
        <f aca="false">IF(I336&lt;=0,"Current",IF(I336&lt;=30,"01-30 days",IF(I336&lt;=90,"31-90 days",IF(I336&lt;=180,"91-180 days","180+ days"))))</f>
        <v>Current</v>
      </c>
      <c r="K336" s="14" t="n">
        <f aca="false">INDEX(Assumptions!$B$11:$B$15,MATCH(J336,Assumptions!$A$11:$A$15,0))</f>
        <v>0.01</v>
      </c>
      <c r="L336" s="13" t="n">
        <f aca="false">H336*K336</f>
        <v>1370</v>
      </c>
      <c r="M336" s="13" t="n">
        <f aca="false">IF(I336&gt;Assumptions!$B$5,H336,0)</f>
        <v>0</v>
      </c>
      <c r="N336" s="13" t="n">
        <f aca="false">IF(I336&gt;Assumptions!$B$6,H336,0)</f>
        <v>0</v>
      </c>
    </row>
    <row r="337" customFormat="false" ht="15" hidden="false" customHeight="false" outlineLevel="0" collapsed="false">
      <c r="A337" s="22" t="s">
        <v>421</v>
      </c>
      <c r="B337" s="22" t="s">
        <v>48</v>
      </c>
      <c r="C337" s="22" t="s">
        <v>54</v>
      </c>
      <c r="D337" s="23" t="n">
        <v>45703</v>
      </c>
      <c r="E337" s="24" t="n">
        <v>77000</v>
      </c>
      <c r="F337" s="25" t="n">
        <v>0.15</v>
      </c>
      <c r="G337" s="22" t="n">
        <v>24</v>
      </c>
      <c r="H337" s="24" t="n">
        <v>64800</v>
      </c>
      <c r="I337" s="22" t="n">
        <v>145</v>
      </c>
      <c r="J337" s="12" t="str">
        <f aca="false">IF(I337&lt;=0,"Current",IF(I337&lt;=30,"01-30 days",IF(I337&lt;=90,"31-90 days",IF(I337&lt;=180,"91-180 days","180+ days"))))</f>
        <v>91-180 days</v>
      </c>
      <c r="K337" s="14" t="n">
        <f aca="false">INDEX(Assumptions!$B$11:$B$15,MATCH(J337,Assumptions!$A$11:$A$15,0))</f>
        <v>0.5</v>
      </c>
      <c r="L337" s="13" t="n">
        <f aca="false">H337*K337</f>
        <v>32400</v>
      </c>
      <c r="M337" s="13" t="n">
        <f aca="false">IF(I337&gt;Assumptions!$B$5,H337,0)</f>
        <v>64800</v>
      </c>
      <c r="N337" s="13" t="n">
        <f aca="false">IF(I337&gt;Assumptions!$B$6,H337,0)</f>
        <v>64800</v>
      </c>
    </row>
    <row r="338" customFormat="false" ht="15" hidden="false" customHeight="false" outlineLevel="0" collapsed="false">
      <c r="A338" s="22" t="s">
        <v>422</v>
      </c>
      <c r="B338" s="22" t="s">
        <v>44</v>
      </c>
      <c r="C338" s="22" t="s">
        <v>56</v>
      </c>
      <c r="D338" s="23" t="n">
        <v>46143</v>
      </c>
      <c r="E338" s="24" t="n">
        <v>399000</v>
      </c>
      <c r="F338" s="25" t="n">
        <v>0.16</v>
      </c>
      <c r="G338" s="22" t="n">
        <v>48</v>
      </c>
      <c r="H338" s="24" t="n">
        <v>105400</v>
      </c>
      <c r="I338" s="22" t="n">
        <v>0</v>
      </c>
      <c r="J338" s="12" t="str">
        <f aca="false">IF(I338&lt;=0,"Current",IF(I338&lt;=30,"01-30 days",IF(I338&lt;=90,"31-90 days",IF(I338&lt;=180,"91-180 days","180+ days"))))</f>
        <v>Current</v>
      </c>
      <c r="K338" s="14" t="n">
        <f aca="false">INDEX(Assumptions!$B$11:$B$15,MATCH(J338,Assumptions!$A$11:$A$15,0))</f>
        <v>0.01</v>
      </c>
      <c r="L338" s="13" t="n">
        <f aca="false">H338*K338</f>
        <v>1054</v>
      </c>
      <c r="M338" s="13" t="n">
        <f aca="false">IF(I338&gt;Assumptions!$B$5,H338,0)</f>
        <v>0</v>
      </c>
      <c r="N338" s="13" t="n">
        <f aca="false">IF(I338&gt;Assumptions!$B$6,H338,0)</f>
        <v>0</v>
      </c>
    </row>
    <row r="339" customFormat="false" ht="15" hidden="false" customHeight="false" outlineLevel="0" collapsed="false">
      <c r="A339" s="22" t="s">
        <v>423</v>
      </c>
      <c r="B339" s="22" t="s">
        <v>45</v>
      </c>
      <c r="C339" s="22" t="s">
        <v>52</v>
      </c>
      <c r="D339" s="23" t="n">
        <v>45584</v>
      </c>
      <c r="E339" s="24" t="n">
        <v>424000</v>
      </c>
      <c r="F339" s="25" t="n">
        <v>0.14</v>
      </c>
      <c r="G339" s="22" t="n">
        <v>36</v>
      </c>
      <c r="H339" s="24" t="n">
        <v>132300</v>
      </c>
      <c r="I339" s="22" t="n">
        <v>0</v>
      </c>
      <c r="J339" s="12" t="str">
        <f aca="false">IF(I339&lt;=0,"Current",IF(I339&lt;=30,"01-30 days",IF(I339&lt;=90,"31-90 days",IF(I339&lt;=180,"91-180 days","180+ days"))))</f>
        <v>Current</v>
      </c>
      <c r="K339" s="14" t="n">
        <f aca="false">INDEX(Assumptions!$B$11:$B$15,MATCH(J339,Assumptions!$A$11:$A$15,0))</f>
        <v>0.01</v>
      </c>
      <c r="L339" s="13" t="n">
        <f aca="false">H339*K339</f>
        <v>1323</v>
      </c>
      <c r="M339" s="13" t="n">
        <f aca="false">IF(I339&gt;Assumptions!$B$5,H339,0)</f>
        <v>0</v>
      </c>
      <c r="N339" s="13" t="n">
        <f aca="false">IF(I339&gt;Assumptions!$B$6,H339,0)</f>
        <v>0</v>
      </c>
    </row>
    <row r="340" customFormat="false" ht="15" hidden="false" customHeight="false" outlineLevel="0" collapsed="false">
      <c r="A340" s="22" t="s">
        <v>424</v>
      </c>
      <c r="B340" s="22" t="s">
        <v>47</v>
      </c>
      <c r="C340" s="22" t="s">
        <v>52</v>
      </c>
      <c r="D340" s="23" t="n">
        <v>45857</v>
      </c>
      <c r="E340" s="24" t="n">
        <v>602000</v>
      </c>
      <c r="F340" s="25" t="n">
        <v>0.14</v>
      </c>
      <c r="G340" s="22" t="n">
        <v>36</v>
      </c>
      <c r="H340" s="24" t="n">
        <v>142000</v>
      </c>
      <c r="I340" s="22" t="n">
        <v>0</v>
      </c>
      <c r="J340" s="12" t="str">
        <f aca="false">IF(I340&lt;=0,"Current",IF(I340&lt;=30,"01-30 days",IF(I340&lt;=90,"31-90 days",IF(I340&lt;=180,"91-180 days","180+ days"))))</f>
        <v>Current</v>
      </c>
      <c r="K340" s="14" t="n">
        <f aca="false">INDEX(Assumptions!$B$11:$B$15,MATCH(J340,Assumptions!$A$11:$A$15,0))</f>
        <v>0.01</v>
      </c>
      <c r="L340" s="13" t="n">
        <f aca="false">H340*K340</f>
        <v>1420</v>
      </c>
      <c r="M340" s="13" t="n">
        <f aca="false">IF(I340&gt;Assumptions!$B$5,H340,0)</f>
        <v>0</v>
      </c>
      <c r="N340" s="13" t="n">
        <f aca="false">IF(I340&gt;Assumptions!$B$6,H340,0)</f>
        <v>0</v>
      </c>
    </row>
    <row r="341" customFormat="false" ht="15" hidden="false" customHeight="false" outlineLevel="0" collapsed="false">
      <c r="A341" s="22" t="s">
        <v>425</v>
      </c>
      <c r="B341" s="22" t="s">
        <v>44</v>
      </c>
      <c r="C341" s="22" t="s">
        <v>54</v>
      </c>
      <c r="D341" s="23" t="n">
        <v>45991</v>
      </c>
      <c r="E341" s="24" t="n">
        <v>377000</v>
      </c>
      <c r="F341" s="25" t="n">
        <v>0.15</v>
      </c>
      <c r="G341" s="22" t="n">
        <v>24</v>
      </c>
      <c r="H341" s="24" t="n">
        <v>278300</v>
      </c>
      <c r="I341" s="22" t="n">
        <v>0</v>
      </c>
      <c r="J341" s="12" t="str">
        <f aca="false">IF(I341&lt;=0,"Current",IF(I341&lt;=30,"01-30 days",IF(I341&lt;=90,"31-90 days",IF(I341&lt;=180,"91-180 days","180+ days"))))</f>
        <v>Current</v>
      </c>
      <c r="K341" s="14" t="n">
        <f aca="false">INDEX(Assumptions!$B$11:$B$15,MATCH(J341,Assumptions!$A$11:$A$15,0))</f>
        <v>0.01</v>
      </c>
      <c r="L341" s="13" t="n">
        <f aca="false">H341*K341</f>
        <v>2783</v>
      </c>
      <c r="M341" s="13" t="n">
        <f aca="false">IF(I341&gt;Assumptions!$B$5,H341,0)</f>
        <v>0</v>
      </c>
      <c r="N341" s="13" t="n">
        <f aca="false">IF(I341&gt;Assumptions!$B$6,H341,0)</f>
        <v>0</v>
      </c>
    </row>
    <row r="342" customFormat="false" ht="15" hidden="false" customHeight="false" outlineLevel="0" collapsed="false">
      <c r="A342" s="22" t="s">
        <v>426</v>
      </c>
      <c r="B342" s="22" t="s">
        <v>48</v>
      </c>
      <c r="C342" s="22" t="s">
        <v>56</v>
      </c>
      <c r="D342" s="23" t="n">
        <v>45720</v>
      </c>
      <c r="E342" s="24" t="n">
        <v>1319000</v>
      </c>
      <c r="F342" s="25" t="n">
        <v>0.16</v>
      </c>
      <c r="G342" s="22" t="n">
        <v>48</v>
      </c>
      <c r="H342" s="24" t="n">
        <v>269300</v>
      </c>
      <c r="I342" s="22" t="n">
        <v>0</v>
      </c>
      <c r="J342" s="12" t="str">
        <f aca="false">IF(I342&lt;=0,"Current",IF(I342&lt;=30,"01-30 days",IF(I342&lt;=90,"31-90 days",IF(I342&lt;=180,"91-180 days","180+ days"))))</f>
        <v>Current</v>
      </c>
      <c r="K342" s="14" t="n">
        <f aca="false">INDEX(Assumptions!$B$11:$B$15,MATCH(J342,Assumptions!$A$11:$A$15,0))</f>
        <v>0.01</v>
      </c>
      <c r="L342" s="13" t="n">
        <f aca="false">H342*K342</f>
        <v>2693</v>
      </c>
      <c r="M342" s="13" t="n">
        <f aca="false">IF(I342&gt;Assumptions!$B$5,H342,0)</f>
        <v>0</v>
      </c>
      <c r="N342" s="13" t="n">
        <f aca="false">IF(I342&gt;Assumptions!$B$6,H342,0)</f>
        <v>0</v>
      </c>
    </row>
    <row r="343" customFormat="false" ht="15" hidden="false" customHeight="false" outlineLevel="0" collapsed="false">
      <c r="A343" s="22" t="s">
        <v>427</v>
      </c>
      <c r="B343" s="22" t="s">
        <v>45</v>
      </c>
      <c r="C343" s="22" t="s">
        <v>52</v>
      </c>
      <c r="D343" s="23" t="n">
        <v>46061</v>
      </c>
      <c r="E343" s="24" t="n">
        <v>276000</v>
      </c>
      <c r="F343" s="25" t="n">
        <v>0.14</v>
      </c>
      <c r="G343" s="22" t="n">
        <v>36</v>
      </c>
      <c r="H343" s="24" t="n">
        <v>216900</v>
      </c>
      <c r="I343" s="22" t="n">
        <v>0</v>
      </c>
      <c r="J343" s="12" t="str">
        <f aca="false">IF(I343&lt;=0,"Current",IF(I343&lt;=30,"01-30 days",IF(I343&lt;=90,"31-90 days",IF(I343&lt;=180,"91-180 days","180+ days"))))</f>
        <v>Current</v>
      </c>
      <c r="K343" s="14" t="n">
        <f aca="false">INDEX(Assumptions!$B$11:$B$15,MATCH(J343,Assumptions!$A$11:$A$15,0))</f>
        <v>0.01</v>
      </c>
      <c r="L343" s="13" t="n">
        <f aca="false">H343*K343</f>
        <v>2169</v>
      </c>
      <c r="M343" s="13" t="n">
        <f aca="false">IF(I343&gt;Assumptions!$B$5,H343,0)</f>
        <v>0</v>
      </c>
      <c r="N343" s="13" t="n">
        <f aca="false">IF(I343&gt;Assumptions!$B$6,H343,0)</f>
        <v>0</v>
      </c>
    </row>
    <row r="344" customFormat="false" ht="15" hidden="false" customHeight="false" outlineLevel="0" collapsed="false">
      <c r="A344" s="22" t="s">
        <v>428</v>
      </c>
      <c r="B344" s="22" t="s">
        <v>44</v>
      </c>
      <c r="C344" s="22" t="s">
        <v>55</v>
      </c>
      <c r="D344" s="23" t="n">
        <v>46146</v>
      </c>
      <c r="E344" s="24" t="n">
        <v>203000</v>
      </c>
      <c r="F344" s="25" t="n">
        <v>0.12</v>
      </c>
      <c r="G344" s="22" t="n">
        <v>12</v>
      </c>
      <c r="H344" s="24" t="n">
        <v>107100</v>
      </c>
      <c r="I344" s="22" t="n">
        <v>11</v>
      </c>
      <c r="J344" s="12" t="str">
        <f aca="false">IF(I344&lt;=0,"Current",IF(I344&lt;=30,"01-30 days",IF(I344&lt;=90,"31-90 days",IF(I344&lt;=180,"91-180 days","180+ days"))))</f>
        <v>01-30 days</v>
      </c>
      <c r="K344" s="14" t="n">
        <f aca="false">INDEX(Assumptions!$B$11:$B$15,MATCH(J344,Assumptions!$A$11:$A$15,0))</f>
        <v>0.05</v>
      </c>
      <c r="L344" s="13" t="n">
        <f aca="false">H344*K344</f>
        <v>5355</v>
      </c>
      <c r="M344" s="13" t="n">
        <f aca="false">IF(I344&gt;Assumptions!$B$5,H344,0)</f>
        <v>0</v>
      </c>
      <c r="N344" s="13" t="n">
        <f aca="false">IF(I344&gt;Assumptions!$B$6,H344,0)</f>
        <v>0</v>
      </c>
    </row>
    <row r="345" customFormat="false" ht="15" hidden="false" customHeight="false" outlineLevel="0" collapsed="false">
      <c r="A345" s="22" t="s">
        <v>429</v>
      </c>
      <c r="B345" s="22" t="s">
        <v>45</v>
      </c>
      <c r="C345" s="22" t="s">
        <v>56</v>
      </c>
      <c r="D345" s="23" t="n">
        <v>45999</v>
      </c>
      <c r="E345" s="24" t="n">
        <v>431000</v>
      </c>
      <c r="F345" s="25" t="n">
        <v>0.16</v>
      </c>
      <c r="G345" s="22" t="n">
        <v>48</v>
      </c>
      <c r="H345" s="24" t="n">
        <v>313400</v>
      </c>
      <c r="I345" s="22" t="n">
        <v>0</v>
      </c>
      <c r="J345" s="12" t="str">
        <f aca="false">IF(I345&lt;=0,"Current",IF(I345&lt;=30,"01-30 days",IF(I345&lt;=90,"31-90 days",IF(I345&lt;=180,"91-180 days","180+ days"))))</f>
        <v>Current</v>
      </c>
      <c r="K345" s="14" t="n">
        <f aca="false">INDEX(Assumptions!$B$11:$B$15,MATCH(J345,Assumptions!$A$11:$A$15,0))</f>
        <v>0.01</v>
      </c>
      <c r="L345" s="13" t="n">
        <f aca="false">H345*K345</f>
        <v>3134</v>
      </c>
      <c r="M345" s="13" t="n">
        <f aca="false">IF(I345&gt;Assumptions!$B$5,H345,0)</f>
        <v>0</v>
      </c>
      <c r="N345" s="13" t="n">
        <f aca="false">IF(I345&gt;Assumptions!$B$6,H345,0)</f>
        <v>0</v>
      </c>
    </row>
    <row r="346" customFormat="false" ht="15" hidden="false" customHeight="false" outlineLevel="0" collapsed="false">
      <c r="A346" s="22" t="s">
        <v>430</v>
      </c>
      <c r="B346" s="22" t="s">
        <v>49</v>
      </c>
      <c r="C346" s="22" t="s">
        <v>56</v>
      </c>
      <c r="D346" s="23" t="n">
        <v>45716</v>
      </c>
      <c r="E346" s="24" t="n">
        <v>433000</v>
      </c>
      <c r="F346" s="25" t="n">
        <v>0.16</v>
      </c>
      <c r="G346" s="22" t="n">
        <v>48</v>
      </c>
      <c r="H346" s="24" t="n">
        <v>386100</v>
      </c>
      <c r="I346" s="22" t="n">
        <v>0</v>
      </c>
      <c r="J346" s="12" t="str">
        <f aca="false">IF(I346&lt;=0,"Current",IF(I346&lt;=30,"01-30 days",IF(I346&lt;=90,"31-90 days",IF(I346&lt;=180,"91-180 days","180+ days"))))</f>
        <v>Current</v>
      </c>
      <c r="K346" s="14" t="n">
        <f aca="false">INDEX(Assumptions!$B$11:$B$15,MATCH(J346,Assumptions!$A$11:$A$15,0))</f>
        <v>0.01</v>
      </c>
      <c r="L346" s="13" t="n">
        <f aca="false">H346*K346</f>
        <v>3861</v>
      </c>
      <c r="M346" s="13" t="n">
        <f aca="false">IF(I346&gt;Assumptions!$B$5,H346,0)</f>
        <v>0</v>
      </c>
      <c r="N346" s="13" t="n">
        <f aca="false">IF(I346&gt;Assumptions!$B$6,H346,0)</f>
        <v>0</v>
      </c>
    </row>
    <row r="347" customFormat="false" ht="15" hidden="false" customHeight="false" outlineLevel="0" collapsed="false">
      <c r="A347" s="22" t="s">
        <v>431</v>
      </c>
      <c r="B347" s="22" t="s">
        <v>45</v>
      </c>
      <c r="C347" s="22" t="s">
        <v>53</v>
      </c>
      <c r="D347" s="23" t="n">
        <v>45709</v>
      </c>
      <c r="E347" s="24" t="n">
        <v>51000</v>
      </c>
      <c r="F347" s="25" t="n">
        <v>0.18</v>
      </c>
      <c r="G347" s="22" t="n">
        <v>6</v>
      </c>
      <c r="H347" s="24" t="n">
        <v>16100</v>
      </c>
      <c r="I347" s="22" t="n">
        <v>0</v>
      </c>
      <c r="J347" s="12" t="str">
        <f aca="false">IF(I347&lt;=0,"Current",IF(I347&lt;=30,"01-30 days",IF(I347&lt;=90,"31-90 days",IF(I347&lt;=180,"91-180 days","180+ days"))))</f>
        <v>Current</v>
      </c>
      <c r="K347" s="14" t="n">
        <f aca="false">INDEX(Assumptions!$B$11:$B$15,MATCH(J347,Assumptions!$A$11:$A$15,0))</f>
        <v>0.01</v>
      </c>
      <c r="L347" s="13" t="n">
        <f aca="false">H347*K347</f>
        <v>161</v>
      </c>
      <c r="M347" s="13" t="n">
        <f aca="false">IF(I347&gt;Assumptions!$B$5,H347,0)</f>
        <v>0</v>
      </c>
      <c r="N347" s="13" t="n">
        <f aca="false">IF(I347&gt;Assumptions!$B$6,H347,0)</f>
        <v>0</v>
      </c>
    </row>
    <row r="348" customFormat="false" ht="15" hidden="false" customHeight="false" outlineLevel="0" collapsed="false">
      <c r="A348" s="22" t="s">
        <v>432</v>
      </c>
      <c r="B348" s="22" t="s">
        <v>44</v>
      </c>
      <c r="C348" s="22" t="s">
        <v>55</v>
      </c>
      <c r="D348" s="23" t="n">
        <v>45798</v>
      </c>
      <c r="E348" s="24" t="n">
        <v>126000</v>
      </c>
      <c r="F348" s="25" t="n">
        <v>0.12</v>
      </c>
      <c r="G348" s="22" t="n">
        <v>12</v>
      </c>
      <c r="H348" s="24" t="n">
        <v>44100</v>
      </c>
      <c r="I348" s="22" t="n">
        <v>0</v>
      </c>
      <c r="J348" s="12" t="str">
        <f aca="false">IF(I348&lt;=0,"Current",IF(I348&lt;=30,"01-30 days",IF(I348&lt;=90,"31-90 days",IF(I348&lt;=180,"91-180 days","180+ days"))))</f>
        <v>Current</v>
      </c>
      <c r="K348" s="14" t="n">
        <f aca="false">INDEX(Assumptions!$B$11:$B$15,MATCH(J348,Assumptions!$A$11:$A$15,0))</f>
        <v>0.01</v>
      </c>
      <c r="L348" s="13" t="n">
        <f aca="false">H348*K348</f>
        <v>441</v>
      </c>
      <c r="M348" s="13" t="n">
        <f aca="false">IF(I348&gt;Assumptions!$B$5,H348,0)</f>
        <v>0</v>
      </c>
      <c r="N348" s="13" t="n">
        <f aca="false">IF(I348&gt;Assumptions!$B$6,H348,0)</f>
        <v>0</v>
      </c>
    </row>
    <row r="349" customFormat="false" ht="15" hidden="false" customHeight="false" outlineLevel="0" collapsed="false">
      <c r="A349" s="22" t="s">
        <v>433</v>
      </c>
      <c r="B349" s="22" t="s">
        <v>46</v>
      </c>
      <c r="C349" s="22" t="s">
        <v>55</v>
      </c>
      <c r="D349" s="23" t="n">
        <v>45498</v>
      </c>
      <c r="E349" s="24" t="n">
        <v>160000</v>
      </c>
      <c r="F349" s="25" t="n">
        <v>0.12</v>
      </c>
      <c r="G349" s="22" t="n">
        <v>12</v>
      </c>
      <c r="H349" s="24" t="n">
        <v>125400</v>
      </c>
      <c r="I349" s="22" t="n">
        <v>85</v>
      </c>
      <c r="J349" s="12" t="str">
        <f aca="false">IF(I349&lt;=0,"Current",IF(I349&lt;=30,"01-30 days",IF(I349&lt;=90,"31-90 days",IF(I349&lt;=180,"91-180 days","180+ days"))))</f>
        <v>31-90 days</v>
      </c>
      <c r="K349" s="14" t="n">
        <f aca="false">INDEX(Assumptions!$B$11:$B$15,MATCH(J349,Assumptions!$A$11:$A$15,0))</f>
        <v>0.25</v>
      </c>
      <c r="L349" s="13" t="n">
        <f aca="false">H349*K349</f>
        <v>31350</v>
      </c>
      <c r="M349" s="13" t="n">
        <f aca="false">IF(I349&gt;Assumptions!$B$5,H349,0)</f>
        <v>125400</v>
      </c>
      <c r="N349" s="13" t="n">
        <f aca="false">IF(I349&gt;Assumptions!$B$6,H349,0)</f>
        <v>0</v>
      </c>
    </row>
    <row r="350" customFormat="false" ht="15" hidden="false" customHeight="false" outlineLevel="0" collapsed="false">
      <c r="A350" s="22" t="s">
        <v>434</v>
      </c>
      <c r="B350" s="22" t="s">
        <v>44</v>
      </c>
      <c r="C350" s="22" t="s">
        <v>53</v>
      </c>
      <c r="D350" s="23" t="n">
        <v>45992</v>
      </c>
      <c r="E350" s="24" t="n">
        <v>109000</v>
      </c>
      <c r="F350" s="25" t="n">
        <v>0.18</v>
      </c>
      <c r="G350" s="22" t="n">
        <v>6</v>
      </c>
      <c r="H350" s="24" t="n">
        <v>52600</v>
      </c>
      <c r="I350" s="22" t="n">
        <v>0</v>
      </c>
      <c r="J350" s="12" t="str">
        <f aca="false">IF(I350&lt;=0,"Current",IF(I350&lt;=30,"01-30 days",IF(I350&lt;=90,"31-90 days",IF(I350&lt;=180,"91-180 days","180+ days"))))</f>
        <v>Current</v>
      </c>
      <c r="K350" s="14" t="n">
        <f aca="false">INDEX(Assumptions!$B$11:$B$15,MATCH(J350,Assumptions!$A$11:$A$15,0))</f>
        <v>0.01</v>
      </c>
      <c r="L350" s="13" t="n">
        <f aca="false">H350*K350</f>
        <v>526</v>
      </c>
      <c r="M350" s="13" t="n">
        <f aca="false">IF(I350&gt;Assumptions!$B$5,H350,0)</f>
        <v>0</v>
      </c>
      <c r="N350" s="13" t="n">
        <f aca="false">IF(I350&gt;Assumptions!$B$6,H350,0)</f>
        <v>0</v>
      </c>
    </row>
    <row r="351" customFormat="false" ht="15" hidden="false" customHeight="false" outlineLevel="0" collapsed="false">
      <c r="A351" s="22" t="s">
        <v>435</v>
      </c>
      <c r="B351" s="22" t="s">
        <v>45</v>
      </c>
      <c r="C351" s="22" t="s">
        <v>56</v>
      </c>
      <c r="D351" s="23" t="n">
        <v>45889</v>
      </c>
      <c r="E351" s="24" t="n">
        <v>1405000</v>
      </c>
      <c r="F351" s="25" t="n">
        <v>0.16</v>
      </c>
      <c r="G351" s="22" t="n">
        <v>48</v>
      </c>
      <c r="H351" s="24" t="n">
        <v>1168600</v>
      </c>
      <c r="I351" s="22" t="n">
        <v>0</v>
      </c>
      <c r="J351" s="12" t="str">
        <f aca="false">IF(I351&lt;=0,"Current",IF(I351&lt;=30,"01-30 days",IF(I351&lt;=90,"31-90 days",IF(I351&lt;=180,"91-180 days","180+ days"))))</f>
        <v>Current</v>
      </c>
      <c r="K351" s="14" t="n">
        <f aca="false">INDEX(Assumptions!$B$11:$B$15,MATCH(J351,Assumptions!$A$11:$A$15,0))</f>
        <v>0.01</v>
      </c>
      <c r="L351" s="13" t="n">
        <f aca="false">H351*K351</f>
        <v>11686</v>
      </c>
      <c r="M351" s="13" t="n">
        <f aca="false">IF(I351&gt;Assumptions!$B$5,H351,0)</f>
        <v>0</v>
      </c>
      <c r="N351" s="13" t="n">
        <f aca="false">IF(I351&gt;Assumptions!$B$6,H351,0)</f>
        <v>0</v>
      </c>
    </row>
    <row r="352" customFormat="false" ht="15" hidden="false" customHeight="false" outlineLevel="0" collapsed="false">
      <c r="A352" s="22" t="s">
        <v>436</v>
      </c>
      <c r="B352" s="22" t="s">
        <v>44</v>
      </c>
      <c r="C352" s="22" t="s">
        <v>55</v>
      </c>
      <c r="D352" s="23" t="n">
        <v>45939</v>
      </c>
      <c r="E352" s="24" t="n">
        <v>113000</v>
      </c>
      <c r="F352" s="25" t="n">
        <v>0.12</v>
      </c>
      <c r="G352" s="22" t="n">
        <v>12</v>
      </c>
      <c r="H352" s="24" t="n">
        <v>30300</v>
      </c>
      <c r="I352" s="22" t="n">
        <v>0</v>
      </c>
      <c r="J352" s="12" t="str">
        <f aca="false">IF(I352&lt;=0,"Current",IF(I352&lt;=30,"01-30 days",IF(I352&lt;=90,"31-90 days",IF(I352&lt;=180,"91-180 days","180+ days"))))</f>
        <v>Current</v>
      </c>
      <c r="K352" s="14" t="n">
        <f aca="false">INDEX(Assumptions!$B$11:$B$15,MATCH(J352,Assumptions!$A$11:$A$15,0))</f>
        <v>0.01</v>
      </c>
      <c r="L352" s="13" t="n">
        <f aca="false">H352*K352</f>
        <v>303</v>
      </c>
      <c r="M352" s="13" t="n">
        <f aca="false">IF(I352&gt;Assumptions!$B$5,H352,0)</f>
        <v>0</v>
      </c>
      <c r="N352" s="13" t="n">
        <f aca="false">IF(I352&gt;Assumptions!$B$6,H352,0)</f>
        <v>0</v>
      </c>
    </row>
    <row r="353" customFormat="false" ht="15" hidden="false" customHeight="false" outlineLevel="0" collapsed="false">
      <c r="A353" s="22" t="s">
        <v>437</v>
      </c>
      <c r="B353" s="22" t="s">
        <v>45</v>
      </c>
      <c r="C353" s="22" t="s">
        <v>55</v>
      </c>
      <c r="D353" s="23" t="n">
        <v>46113</v>
      </c>
      <c r="E353" s="24" t="n">
        <v>177000</v>
      </c>
      <c r="F353" s="25" t="n">
        <v>0.12</v>
      </c>
      <c r="G353" s="22" t="n">
        <v>12</v>
      </c>
      <c r="H353" s="24" t="n">
        <v>41400</v>
      </c>
      <c r="I353" s="22" t="n">
        <v>0</v>
      </c>
      <c r="J353" s="12" t="str">
        <f aca="false">IF(I353&lt;=0,"Current",IF(I353&lt;=30,"01-30 days",IF(I353&lt;=90,"31-90 days",IF(I353&lt;=180,"91-180 days","180+ days"))))</f>
        <v>Current</v>
      </c>
      <c r="K353" s="14" t="n">
        <f aca="false">INDEX(Assumptions!$B$11:$B$15,MATCH(J353,Assumptions!$A$11:$A$15,0))</f>
        <v>0.01</v>
      </c>
      <c r="L353" s="13" t="n">
        <f aca="false">H353*K353</f>
        <v>414</v>
      </c>
      <c r="M353" s="13" t="n">
        <f aca="false">IF(I353&gt;Assumptions!$B$5,H353,0)</f>
        <v>0</v>
      </c>
      <c r="N353" s="13" t="n">
        <f aca="false">IF(I353&gt;Assumptions!$B$6,H353,0)</f>
        <v>0</v>
      </c>
    </row>
    <row r="354" customFormat="false" ht="15" hidden="false" customHeight="false" outlineLevel="0" collapsed="false">
      <c r="A354" s="22" t="s">
        <v>438</v>
      </c>
      <c r="B354" s="22" t="s">
        <v>48</v>
      </c>
      <c r="C354" s="22" t="s">
        <v>55</v>
      </c>
      <c r="D354" s="23" t="n">
        <v>45924</v>
      </c>
      <c r="E354" s="24" t="n">
        <v>92000</v>
      </c>
      <c r="F354" s="25" t="n">
        <v>0.12</v>
      </c>
      <c r="G354" s="22" t="n">
        <v>12</v>
      </c>
      <c r="H354" s="24" t="n">
        <v>67800</v>
      </c>
      <c r="I354" s="22" t="n">
        <v>0</v>
      </c>
      <c r="J354" s="12" t="str">
        <f aca="false">IF(I354&lt;=0,"Current",IF(I354&lt;=30,"01-30 days",IF(I354&lt;=90,"31-90 days",IF(I354&lt;=180,"91-180 days","180+ days"))))</f>
        <v>Current</v>
      </c>
      <c r="K354" s="14" t="n">
        <f aca="false">INDEX(Assumptions!$B$11:$B$15,MATCH(J354,Assumptions!$A$11:$A$15,0))</f>
        <v>0.01</v>
      </c>
      <c r="L354" s="13" t="n">
        <f aca="false">H354*K354</f>
        <v>678</v>
      </c>
      <c r="M354" s="13" t="n">
        <f aca="false">IF(I354&gt;Assumptions!$B$5,H354,0)</f>
        <v>0</v>
      </c>
      <c r="N354" s="13" t="n">
        <f aca="false">IF(I354&gt;Assumptions!$B$6,H354,0)</f>
        <v>0</v>
      </c>
    </row>
    <row r="355" customFormat="false" ht="15" hidden="false" customHeight="false" outlineLevel="0" collapsed="false">
      <c r="A355" s="22" t="s">
        <v>439</v>
      </c>
      <c r="B355" s="22" t="s">
        <v>44</v>
      </c>
      <c r="C355" s="22" t="s">
        <v>53</v>
      </c>
      <c r="D355" s="23" t="n">
        <v>45790</v>
      </c>
      <c r="E355" s="24" t="n">
        <v>125000</v>
      </c>
      <c r="F355" s="25" t="n">
        <v>0.18</v>
      </c>
      <c r="G355" s="22" t="n">
        <v>6</v>
      </c>
      <c r="H355" s="24" t="n">
        <v>110300</v>
      </c>
      <c r="I355" s="22" t="n">
        <v>0</v>
      </c>
      <c r="J355" s="12" t="str">
        <f aca="false">IF(I355&lt;=0,"Current",IF(I355&lt;=30,"01-30 days",IF(I355&lt;=90,"31-90 days",IF(I355&lt;=180,"91-180 days","180+ days"))))</f>
        <v>Current</v>
      </c>
      <c r="K355" s="14" t="n">
        <f aca="false">INDEX(Assumptions!$B$11:$B$15,MATCH(J355,Assumptions!$A$11:$A$15,0))</f>
        <v>0.01</v>
      </c>
      <c r="L355" s="13" t="n">
        <f aca="false">H355*K355</f>
        <v>1103</v>
      </c>
      <c r="M355" s="13" t="n">
        <f aca="false">IF(I355&gt;Assumptions!$B$5,H355,0)</f>
        <v>0</v>
      </c>
      <c r="N355" s="13" t="n">
        <f aca="false">IF(I355&gt;Assumptions!$B$6,H355,0)</f>
        <v>0</v>
      </c>
    </row>
    <row r="356" customFormat="false" ht="15" hidden="false" customHeight="false" outlineLevel="0" collapsed="false">
      <c r="A356" s="22" t="s">
        <v>440</v>
      </c>
      <c r="B356" s="22" t="s">
        <v>44</v>
      </c>
      <c r="C356" s="22" t="s">
        <v>53</v>
      </c>
      <c r="D356" s="23" t="n">
        <v>45445</v>
      </c>
      <c r="E356" s="24" t="n">
        <v>46000</v>
      </c>
      <c r="F356" s="25" t="n">
        <v>0.18</v>
      </c>
      <c r="G356" s="22" t="n">
        <v>6</v>
      </c>
      <c r="H356" s="24" t="n">
        <v>32600</v>
      </c>
      <c r="I356" s="22" t="n">
        <v>0</v>
      </c>
      <c r="J356" s="12" t="str">
        <f aca="false">IF(I356&lt;=0,"Current",IF(I356&lt;=30,"01-30 days",IF(I356&lt;=90,"31-90 days",IF(I356&lt;=180,"91-180 days","180+ days"))))</f>
        <v>Current</v>
      </c>
      <c r="K356" s="14" t="n">
        <f aca="false">INDEX(Assumptions!$B$11:$B$15,MATCH(J356,Assumptions!$A$11:$A$15,0))</f>
        <v>0.01</v>
      </c>
      <c r="L356" s="13" t="n">
        <f aca="false">H356*K356</f>
        <v>326</v>
      </c>
      <c r="M356" s="13" t="n">
        <f aca="false">IF(I356&gt;Assumptions!$B$5,H356,0)</f>
        <v>0</v>
      </c>
      <c r="N356" s="13" t="n">
        <f aca="false">IF(I356&gt;Assumptions!$B$6,H356,0)</f>
        <v>0</v>
      </c>
    </row>
    <row r="357" customFormat="false" ht="15" hidden="false" customHeight="false" outlineLevel="0" collapsed="false">
      <c r="A357" s="22" t="s">
        <v>441</v>
      </c>
      <c r="B357" s="22" t="s">
        <v>44</v>
      </c>
      <c r="C357" s="22" t="s">
        <v>54</v>
      </c>
      <c r="D357" s="23" t="n">
        <v>45793</v>
      </c>
      <c r="E357" s="24" t="n">
        <v>340000</v>
      </c>
      <c r="F357" s="25" t="n">
        <v>0.15</v>
      </c>
      <c r="G357" s="22" t="n">
        <v>24</v>
      </c>
      <c r="H357" s="24" t="n">
        <v>108700</v>
      </c>
      <c r="I357" s="22" t="n">
        <v>0</v>
      </c>
      <c r="J357" s="12" t="str">
        <f aca="false">IF(I357&lt;=0,"Current",IF(I357&lt;=30,"01-30 days",IF(I357&lt;=90,"31-90 days",IF(I357&lt;=180,"91-180 days","180+ days"))))</f>
        <v>Current</v>
      </c>
      <c r="K357" s="14" t="n">
        <f aca="false">INDEX(Assumptions!$B$11:$B$15,MATCH(J357,Assumptions!$A$11:$A$15,0))</f>
        <v>0.01</v>
      </c>
      <c r="L357" s="13" t="n">
        <f aca="false">H357*K357</f>
        <v>1087</v>
      </c>
      <c r="M357" s="13" t="n">
        <f aca="false">IF(I357&gt;Assumptions!$B$5,H357,0)</f>
        <v>0</v>
      </c>
      <c r="N357" s="13" t="n">
        <f aca="false">IF(I357&gt;Assumptions!$B$6,H357,0)</f>
        <v>0</v>
      </c>
    </row>
    <row r="358" customFormat="false" ht="15" hidden="false" customHeight="false" outlineLevel="0" collapsed="false">
      <c r="A358" s="22" t="s">
        <v>442</v>
      </c>
      <c r="B358" s="22" t="s">
        <v>44</v>
      </c>
      <c r="C358" s="22" t="s">
        <v>54</v>
      </c>
      <c r="D358" s="23" t="n">
        <v>45644</v>
      </c>
      <c r="E358" s="24" t="n">
        <v>462000</v>
      </c>
      <c r="F358" s="25" t="n">
        <v>0.15</v>
      </c>
      <c r="G358" s="22" t="n">
        <v>24</v>
      </c>
      <c r="H358" s="24" t="n">
        <v>197100</v>
      </c>
      <c r="I358" s="22" t="n">
        <v>116</v>
      </c>
      <c r="J358" s="12" t="str">
        <f aca="false">IF(I358&lt;=0,"Current",IF(I358&lt;=30,"01-30 days",IF(I358&lt;=90,"31-90 days",IF(I358&lt;=180,"91-180 days","180+ days"))))</f>
        <v>91-180 days</v>
      </c>
      <c r="K358" s="14" t="n">
        <f aca="false">INDEX(Assumptions!$B$11:$B$15,MATCH(J358,Assumptions!$A$11:$A$15,0))</f>
        <v>0.5</v>
      </c>
      <c r="L358" s="13" t="n">
        <f aca="false">H358*K358</f>
        <v>98550</v>
      </c>
      <c r="M358" s="13" t="n">
        <f aca="false">IF(I358&gt;Assumptions!$B$5,H358,0)</f>
        <v>197100</v>
      </c>
      <c r="N358" s="13" t="n">
        <f aca="false">IF(I358&gt;Assumptions!$B$6,H358,0)</f>
        <v>197100</v>
      </c>
    </row>
    <row r="359" customFormat="false" ht="15" hidden="false" customHeight="false" outlineLevel="0" collapsed="false">
      <c r="A359" s="22" t="s">
        <v>443</v>
      </c>
      <c r="B359" s="22" t="s">
        <v>44</v>
      </c>
      <c r="C359" s="22" t="s">
        <v>53</v>
      </c>
      <c r="D359" s="23" t="n">
        <v>45997</v>
      </c>
      <c r="E359" s="24" t="n">
        <v>63000</v>
      </c>
      <c r="F359" s="25" t="n">
        <v>0.18</v>
      </c>
      <c r="G359" s="22" t="n">
        <v>6</v>
      </c>
      <c r="H359" s="24" t="n">
        <v>55100</v>
      </c>
      <c r="I359" s="22" t="n">
        <v>0</v>
      </c>
      <c r="J359" s="12" t="str">
        <f aca="false">IF(I359&lt;=0,"Current",IF(I359&lt;=30,"01-30 days",IF(I359&lt;=90,"31-90 days",IF(I359&lt;=180,"91-180 days","180+ days"))))</f>
        <v>Current</v>
      </c>
      <c r="K359" s="14" t="n">
        <f aca="false">INDEX(Assumptions!$B$11:$B$15,MATCH(J359,Assumptions!$A$11:$A$15,0))</f>
        <v>0.01</v>
      </c>
      <c r="L359" s="13" t="n">
        <f aca="false">H359*K359</f>
        <v>551</v>
      </c>
      <c r="M359" s="13" t="n">
        <f aca="false">IF(I359&gt;Assumptions!$B$5,H359,0)</f>
        <v>0</v>
      </c>
      <c r="N359" s="13" t="n">
        <f aca="false">IF(I359&gt;Assumptions!$B$6,H359,0)</f>
        <v>0</v>
      </c>
    </row>
    <row r="360" customFormat="false" ht="15" hidden="false" customHeight="false" outlineLevel="0" collapsed="false">
      <c r="A360" s="22" t="s">
        <v>444</v>
      </c>
      <c r="B360" s="22" t="s">
        <v>45</v>
      </c>
      <c r="C360" s="22" t="s">
        <v>52</v>
      </c>
      <c r="D360" s="23" t="n">
        <v>45563</v>
      </c>
      <c r="E360" s="24" t="n">
        <v>397000</v>
      </c>
      <c r="F360" s="25" t="n">
        <v>0.14</v>
      </c>
      <c r="G360" s="22" t="n">
        <v>36</v>
      </c>
      <c r="H360" s="24" t="n">
        <v>260500</v>
      </c>
      <c r="I360" s="22" t="n">
        <v>0</v>
      </c>
      <c r="J360" s="12" t="str">
        <f aca="false">IF(I360&lt;=0,"Current",IF(I360&lt;=30,"01-30 days",IF(I360&lt;=90,"31-90 days",IF(I360&lt;=180,"91-180 days","180+ days"))))</f>
        <v>Current</v>
      </c>
      <c r="K360" s="14" t="n">
        <f aca="false">INDEX(Assumptions!$B$11:$B$15,MATCH(J360,Assumptions!$A$11:$A$15,0))</f>
        <v>0.01</v>
      </c>
      <c r="L360" s="13" t="n">
        <f aca="false">H360*K360</f>
        <v>2605</v>
      </c>
      <c r="M360" s="13" t="n">
        <f aca="false">IF(I360&gt;Assumptions!$B$5,H360,0)</f>
        <v>0</v>
      </c>
      <c r="N360" s="13" t="n">
        <f aca="false">IF(I360&gt;Assumptions!$B$6,H360,0)</f>
        <v>0</v>
      </c>
    </row>
    <row r="361" customFormat="false" ht="15" hidden="false" customHeight="false" outlineLevel="0" collapsed="false">
      <c r="A361" s="22" t="s">
        <v>445</v>
      </c>
      <c r="B361" s="22" t="s">
        <v>44</v>
      </c>
      <c r="C361" s="22" t="s">
        <v>54</v>
      </c>
      <c r="D361" s="23" t="n">
        <v>45975</v>
      </c>
      <c r="E361" s="24" t="n">
        <v>60000</v>
      </c>
      <c r="F361" s="25" t="n">
        <v>0.15</v>
      </c>
      <c r="G361" s="22" t="n">
        <v>24</v>
      </c>
      <c r="H361" s="24" t="n">
        <v>19800</v>
      </c>
      <c r="I361" s="22" t="n">
        <v>0</v>
      </c>
      <c r="J361" s="12" t="str">
        <f aca="false">IF(I361&lt;=0,"Current",IF(I361&lt;=30,"01-30 days",IF(I361&lt;=90,"31-90 days",IF(I361&lt;=180,"91-180 days","180+ days"))))</f>
        <v>Current</v>
      </c>
      <c r="K361" s="14" t="n">
        <f aca="false">INDEX(Assumptions!$B$11:$B$15,MATCH(J361,Assumptions!$A$11:$A$15,0))</f>
        <v>0.01</v>
      </c>
      <c r="L361" s="13" t="n">
        <f aca="false">H361*K361</f>
        <v>198</v>
      </c>
      <c r="M361" s="13" t="n">
        <f aca="false">IF(I361&gt;Assumptions!$B$5,H361,0)</f>
        <v>0</v>
      </c>
      <c r="N361" s="13" t="n">
        <f aca="false">IF(I361&gt;Assumptions!$B$6,H361,0)</f>
        <v>0</v>
      </c>
    </row>
    <row r="362" customFormat="false" ht="15" hidden="false" customHeight="false" outlineLevel="0" collapsed="false">
      <c r="A362" s="22" t="s">
        <v>446</v>
      </c>
      <c r="B362" s="22" t="s">
        <v>45</v>
      </c>
      <c r="C362" s="22" t="s">
        <v>54</v>
      </c>
      <c r="D362" s="23" t="n">
        <v>45571</v>
      </c>
      <c r="E362" s="24" t="n">
        <v>337000</v>
      </c>
      <c r="F362" s="25" t="n">
        <v>0.15</v>
      </c>
      <c r="G362" s="22" t="n">
        <v>24</v>
      </c>
      <c r="H362" s="24" t="n">
        <v>100700</v>
      </c>
      <c r="I362" s="22" t="n">
        <v>0</v>
      </c>
      <c r="J362" s="12" t="str">
        <f aca="false">IF(I362&lt;=0,"Current",IF(I362&lt;=30,"01-30 days",IF(I362&lt;=90,"31-90 days",IF(I362&lt;=180,"91-180 days","180+ days"))))</f>
        <v>Current</v>
      </c>
      <c r="K362" s="14" t="n">
        <f aca="false">INDEX(Assumptions!$B$11:$B$15,MATCH(J362,Assumptions!$A$11:$A$15,0))</f>
        <v>0.01</v>
      </c>
      <c r="L362" s="13" t="n">
        <f aca="false">H362*K362</f>
        <v>1007</v>
      </c>
      <c r="M362" s="13" t="n">
        <f aca="false">IF(I362&gt;Assumptions!$B$5,H362,0)</f>
        <v>0</v>
      </c>
      <c r="N362" s="13" t="n">
        <f aca="false">IF(I362&gt;Assumptions!$B$6,H362,0)</f>
        <v>0</v>
      </c>
    </row>
    <row r="363" customFormat="false" ht="15" hidden="false" customHeight="false" outlineLevel="0" collapsed="false">
      <c r="A363" s="22" t="s">
        <v>447</v>
      </c>
      <c r="B363" s="22" t="s">
        <v>44</v>
      </c>
      <c r="C363" s="22" t="s">
        <v>54</v>
      </c>
      <c r="D363" s="23" t="n">
        <v>46133</v>
      </c>
      <c r="E363" s="24" t="n">
        <v>310000</v>
      </c>
      <c r="F363" s="25" t="n">
        <v>0.15</v>
      </c>
      <c r="G363" s="22" t="n">
        <v>24</v>
      </c>
      <c r="H363" s="24" t="n">
        <v>97400</v>
      </c>
      <c r="I363" s="22" t="n">
        <v>0</v>
      </c>
      <c r="J363" s="12" t="str">
        <f aca="false">IF(I363&lt;=0,"Current",IF(I363&lt;=30,"01-30 days",IF(I363&lt;=90,"31-90 days",IF(I363&lt;=180,"91-180 days","180+ days"))))</f>
        <v>Current</v>
      </c>
      <c r="K363" s="14" t="n">
        <f aca="false">INDEX(Assumptions!$B$11:$B$15,MATCH(J363,Assumptions!$A$11:$A$15,0))</f>
        <v>0.01</v>
      </c>
      <c r="L363" s="13" t="n">
        <f aca="false">H363*K363</f>
        <v>974</v>
      </c>
      <c r="M363" s="13" t="n">
        <f aca="false">IF(I363&gt;Assumptions!$B$5,H363,0)</f>
        <v>0</v>
      </c>
      <c r="N363" s="13" t="n">
        <f aca="false">IF(I363&gt;Assumptions!$B$6,H363,0)</f>
        <v>0</v>
      </c>
    </row>
    <row r="364" customFormat="false" ht="15" hidden="false" customHeight="false" outlineLevel="0" collapsed="false">
      <c r="A364" s="22" t="s">
        <v>448</v>
      </c>
      <c r="B364" s="22" t="s">
        <v>48</v>
      </c>
      <c r="C364" s="22" t="s">
        <v>53</v>
      </c>
      <c r="D364" s="23" t="n">
        <v>45839</v>
      </c>
      <c r="E364" s="24" t="n">
        <v>42000</v>
      </c>
      <c r="F364" s="25" t="n">
        <v>0.18</v>
      </c>
      <c r="G364" s="22" t="n">
        <v>6</v>
      </c>
      <c r="H364" s="24" t="n">
        <v>25500</v>
      </c>
      <c r="I364" s="22" t="n">
        <v>0</v>
      </c>
      <c r="J364" s="12" t="str">
        <f aca="false">IF(I364&lt;=0,"Current",IF(I364&lt;=30,"01-30 days",IF(I364&lt;=90,"31-90 days",IF(I364&lt;=180,"91-180 days","180+ days"))))</f>
        <v>Current</v>
      </c>
      <c r="K364" s="14" t="n">
        <f aca="false">INDEX(Assumptions!$B$11:$B$15,MATCH(J364,Assumptions!$A$11:$A$15,0))</f>
        <v>0.01</v>
      </c>
      <c r="L364" s="13" t="n">
        <f aca="false">H364*K364</f>
        <v>255</v>
      </c>
      <c r="M364" s="13" t="n">
        <f aca="false">IF(I364&gt;Assumptions!$B$5,H364,0)</f>
        <v>0</v>
      </c>
      <c r="N364" s="13" t="n">
        <f aca="false">IF(I364&gt;Assumptions!$B$6,H364,0)</f>
        <v>0</v>
      </c>
    </row>
    <row r="365" customFormat="false" ht="15" hidden="false" customHeight="false" outlineLevel="0" collapsed="false">
      <c r="A365" s="22" t="s">
        <v>449</v>
      </c>
      <c r="B365" s="22" t="s">
        <v>48</v>
      </c>
      <c r="C365" s="22" t="s">
        <v>56</v>
      </c>
      <c r="D365" s="23" t="n">
        <v>46090</v>
      </c>
      <c r="E365" s="24" t="n">
        <v>732000</v>
      </c>
      <c r="F365" s="25" t="n">
        <v>0.16</v>
      </c>
      <c r="G365" s="22" t="n">
        <v>48</v>
      </c>
      <c r="H365" s="24" t="n">
        <v>314600</v>
      </c>
      <c r="I365" s="22" t="n">
        <v>0</v>
      </c>
      <c r="J365" s="12" t="str">
        <f aca="false">IF(I365&lt;=0,"Current",IF(I365&lt;=30,"01-30 days",IF(I365&lt;=90,"31-90 days",IF(I365&lt;=180,"91-180 days","180+ days"))))</f>
        <v>Current</v>
      </c>
      <c r="K365" s="14" t="n">
        <f aca="false">INDEX(Assumptions!$B$11:$B$15,MATCH(J365,Assumptions!$A$11:$A$15,0))</f>
        <v>0.01</v>
      </c>
      <c r="L365" s="13" t="n">
        <f aca="false">H365*K365</f>
        <v>3146</v>
      </c>
      <c r="M365" s="13" t="n">
        <f aca="false">IF(I365&gt;Assumptions!$B$5,H365,0)</f>
        <v>0</v>
      </c>
      <c r="N365" s="13" t="n">
        <f aca="false">IF(I365&gt;Assumptions!$B$6,H365,0)</f>
        <v>0</v>
      </c>
    </row>
    <row r="366" customFormat="false" ht="15" hidden="false" customHeight="false" outlineLevel="0" collapsed="false">
      <c r="A366" s="22" t="s">
        <v>450</v>
      </c>
      <c r="B366" s="22" t="s">
        <v>45</v>
      </c>
      <c r="C366" s="22" t="s">
        <v>56</v>
      </c>
      <c r="D366" s="23" t="n">
        <v>45645</v>
      </c>
      <c r="E366" s="24" t="n">
        <v>678000</v>
      </c>
      <c r="F366" s="25" t="n">
        <v>0.16</v>
      </c>
      <c r="G366" s="22" t="n">
        <v>48</v>
      </c>
      <c r="H366" s="24" t="n">
        <v>380200</v>
      </c>
      <c r="I366" s="22" t="n">
        <v>0</v>
      </c>
      <c r="J366" s="12" t="str">
        <f aca="false">IF(I366&lt;=0,"Current",IF(I366&lt;=30,"01-30 days",IF(I366&lt;=90,"31-90 days",IF(I366&lt;=180,"91-180 days","180+ days"))))</f>
        <v>Current</v>
      </c>
      <c r="K366" s="14" t="n">
        <f aca="false">INDEX(Assumptions!$B$11:$B$15,MATCH(J366,Assumptions!$A$11:$A$15,0))</f>
        <v>0.01</v>
      </c>
      <c r="L366" s="13" t="n">
        <f aca="false">H366*K366</f>
        <v>3802</v>
      </c>
      <c r="M366" s="13" t="n">
        <f aca="false">IF(I366&gt;Assumptions!$B$5,H366,0)</f>
        <v>0</v>
      </c>
      <c r="N366" s="13" t="n">
        <f aca="false">IF(I366&gt;Assumptions!$B$6,H366,0)</f>
        <v>0</v>
      </c>
    </row>
    <row r="367" customFormat="false" ht="15" hidden="false" customHeight="false" outlineLevel="0" collapsed="false">
      <c r="A367" s="22" t="s">
        <v>451</v>
      </c>
      <c r="B367" s="22" t="s">
        <v>48</v>
      </c>
      <c r="C367" s="22" t="s">
        <v>56</v>
      </c>
      <c r="D367" s="23" t="n">
        <v>45529</v>
      </c>
      <c r="E367" s="24" t="n">
        <v>754000</v>
      </c>
      <c r="F367" s="25" t="n">
        <v>0.16</v>
      </c>
      <c r="G367" s="22" t="n">
        <v>48</v>
      </c>
      <c r="H367" s="24" t="n">
        <v>470900</v>
      </c>
      <c r="I367" s="22" t="n">
        <v>0</v>
      </c>
      <c r="J367" s="12" t="str">
        <f aca="false">IF(I367&lt;=0,"Current",IF(I367&lt;=30,"01-30 days",IF(I367&lt;=90,"31-90 days",IF(I367&lt;=180,"91-180 days","180+ days"))))</f>
        <v>Current</v>
      </c>
      <c r="K367" s="14" t="n">
        <f aca="false">INDEX(Assumptions!$B$11:$B$15,MATCH(J367,Assumptions!$A$11:$A$15,0))</f>
        <v>0.01</v>
      </c>
      <c r="L367" s="13" t="n">
        <f aca="false">H367*K367</f>
        <v>4709</v>
      </c>
      <c r="M367" s="13" t="n">
        <f aca="false">IF(I367&gt;Assumptions!$B$5,H367,0)</f>
        <v>0</v>
      </c>
      <c r="N367" s="13" t="n">
        <f aca="false">IF(I367&gt;Assumptions!$B$6,H367,0)</f>
        <v>0</v>
      </c>
    </row>
    <row r="368" customFormat="false" ht="15" hidden="false" customHeight="false" outlineLevel="0" collapsed="false">
      <c r="A368" s="22" t="s">
        <v>452</v>
      </c>
      <c r="B368" s="22" t="s">
        <v>44</v>
      </c>
      <c r="C368" s="22" t="s">
        <v>56</v>
      </c>
      <c r="D368" s="23" t="n">
        <v>46052</v>
      </c>
      <c r="E368" s="24" t="n">
        <v>425000</v>
      </c>
      <c r="F368" s="25" t="n">
        <v>0.16</v>
      </c>
      <c r="G368" s="22" t="n">
        <v>48</v>
      </c>
      <c r="H368" s="24" t="n">
        <v>268200</v>
      </c>
      <c r="I368" s="22" t="n">
        <v>0</v>
      </c>
      <c r="J368" s="12" t="str">
        <f aca="false">IF(I368&lt;=0,"Current",IF(I368&lt;=30,"01-30 days",IF(I368&lt;=90,"31-90 days",IF(I368&lt;=180,"91-180 days","180+ days"))))</f>
        <v>Current</v>
      </c>
      <c r="K368" s="14" t="n">
        <f aca="false">INDEX(Assumptions!$B$11:$B$15,MATCH(J368,Assumptions!$A$11:$A$15,0))</f>
        <v>0.01</v>
      </c>
      <c r="L368" s="13" t="n">
        <f aca="false">H368*K368</f>
        <v>2682</v>
      </c>
      <c r="M368" s="13" t="n">
        <f aca="false">IF(I368&gt;Assumptions!$B$5,H368,0)</f>
        <v>0</v>
      </c>
      <c r="N368" s="13" t="n">
        <f aca="false">IF(I368&gt;Assumptions!$B$6,H368,0)</f>
        <v>0</v>
      </c>
    </row>
    <row r="369" customFormat="false" ht="15" hidden="false" customHeight="false" outlineLevel="0" collapsed="false">
      <c r="A369" s="22" t="s">
        <v>453</v>
      </c>
      <c r="B369" s="22" t="s">
        <v>44</v>
      </c>
      <c r="C369" s="22" t="s">
        <v>52</v>
      </c>
      <c r="D369" s="23" t="n">
        <v>45491</v>
      </c>
      <c r="E369" s="24" t="n">
        <v>204000</v>
      </c>
      <c r="F369" s="25" t="n">
        <v>0.14</v>
      </c>
      <c r="G369" s="22" t="n">
        <v>36</v>
      </c>
      <c r="H369" s="24" t="n">
        <v>183600</v>
      </c>
      <c r="I369" s="22" t="n">
        <v>0</v>
      </c>
      <c r="J369" s="12" t="str">
        <f aca="false">IF(I369&lt;=0,"Current",IF(I369&lt;=30,"01-30 days",IF(I369&lt;=90,"31-90 days",IF(I369&lt;=180,"91-180 days","180+ days"))))</f>
        <v>Current</v>
      </c>
      <c r="K369" s="14" t="n">
        <f aca="false">INDEX(Assumptions!$B$11:$B$15,MATCH(J369,Assumptions!$A$11:$A$15,0))</f>
        <v>0.01</v>
      </c>
      <c r="L369" s="13" t="n">
        <f aca="false">H369*K369</f>
        <v>1836</v>
      </c>
      <c r="M369" s="13" t="n">
        <f aca="false">IF(I369&gt;Assumptions!$B$5,H369,0)</f>
        <v>0</v>
      </c>
      <c r="N369" s="13" t="n">
        <f aca="false">IF(I369&gt;Assumptions!$B$6,H369,0)</f>
        <v>0</v>
      </c>
    </row>
    <row r="370" customFormat="false" ht="15" hidden="false" customHeight="false" outlineLevel="0" collapsed="false">
      <c r="A370" s="22" t="s">
        <v>454</v>
      </c>
      <c r="B370" s="22" t="s">
        <v>49</v>
      </c>
      <c r="C370" s="22" t="s">
        <v>54</v>
      </c>
      <c r="D370" s="23" t="n">
        <v>45876</v>
      </c>
      <c r="E370" s="24" t="n">
        <v>231000</v>
      </c>
      <c r="F370" s="25" t="n">
        <v>0.15</v>
      </c>
      <c r="G370" s="22" t="n">
        <v>24</v>
      </c>
      <c r="H370" s="24" t="n">
        <v>197300</v>
      </c>
      <c r="I370" s="22" t="n">
        <v>22</v>
      </c>
      <c r="J370" s="12" t="str">
        <f aca="false">IF(I370&lt;=0,"Current",IF(I370&lt;=30,"01-30 days",IF(I370&lt;=90,"31-90 days",IF(I370&lt;=180,"91-180 days","180+ days"))))</f>
        <v>01-30 days</v>
      </c>
      <c r="K370" s="14" t="n">
        <f aca="false">INDEX(Assumptions!$B$11:$B$15,MATCH(J370,Assumptions!$A$11:$A$15,0))</f>
        <v>0.05</v>
      </c>
      <c r="L370" s="13" t="n">
        <f aca="false">H370*K370</f>
        <v>9865</v>
      </c>
      <c r="M370" s="13" t="n">
        <f aca="false">IF(I370&gt;Assumptions!$B$5,H370,0)</f>
        <v>0</v>
      </c>
      <c r="N370" s="13" t="n">
        <f aca="false">IF(I370&gt;Assumptions!$B$6,H370,0)</f>
        <v>0</v>
      </c>
    </row>
    <row r="371" customFormat="false" ht="15" hidden="false" customHeight="false" outlineLevel="0" collapsed="false">
      <c r="A371" s="22" t="s">
        <v>455</v>
      </c>
      <c r="B371" s="22" t="s">
        <v>44</v>
      </c>
      <c r="C371" s="22" t="s">
        <v>56</v>
      </c>
      <c r="D371" s="23" t="n">
        <v>45481</v>
      </c>
      <c r="E371" s="24" t="n">
        <v>1310000</v>
      </c>
      <c r="F371" s="25" t="n">
        <v>0.16</v>
      </c>
      <c r="G371" s="22" t="n">
        <v>48</v>
      </c>
      <c r="H371" s="24" t="n">
        <v>337800</v>
      </c>
      <c r="I371" s="22" t="n">
        <v>0</v>
      </c>
      <c r="J371" s="12" t="str">
        <f aca="false">IF(I371&lt;=0,"Current",IF(I371&lt;=30,"01-30 days",IF(I371&lt;=90,"31-90 days",IF(I371&lt;=180,"91-180 days","180+ days"))))</f>
        <v>Current</v>
      </c>
      <c r="K371" s="14" t="n">
        <f aca="false">INDEX(Assumptions!$B$11:$B$15,MATCH(J371,Assumptions!$A$11:$A$15,0))</f>
        <v>0.01</v>
      </c>
      <c r="L371" s="13" t="n">
        <f aca="false">H371*K371</f>
        <v>3378</v>
      </c>
      <c r="M371" s="13" t="n">
        <f aca="false">IF(I371&gt;Assumptions!$B$5,H371,0)</f>
        <v>0</v>
      </c>
      <c r="N371" s="13" t="n">
        <f aca="false">IF(I371&gt;Assumptions!$B$6,H371,0)</f>
        <v>0</v>
      </c>
    </row>
    <row r="372" customFormat="false" ht="15" hidden="false" customHeight="false" outlineLevel="0" collapsed="false">
      <c r="A372" s="22" t="s">
        <v>456</v>
      </c>
      <c r="B372" s="22" t="s">
        <v>44</v>
      </c>
      <c r="C372" s="22" t="s">
        <v>54</v>
      </c>
      <c r="D372" s="23" t="n">
        <v>45372</v>
      </c>
      <c r="E372" s="24" t="n">
        <v>363000</v>
      </c>
      <c r="F372" s="25" t="n">
        <v>0.15</v>
      </c>
      <c r="G372" s="22" t="n">
        <v>24</v>
      </c>
      <c r="H372" s="24" t="n">
        <v>208500</v>
      </c>
      <c r="I372" s="22" t="n">
        <v>37</v>
      </c>
      <c r="J372" s="12" t="str">
        <f aca="false">IF(I372&lt;=0,"Current",IF(I372&lt;=30,"01-30 days",IF(I372&lt;=90,"31-90 days",IF(I372&lt;=180,"91-180 days","180+ days"))))</f>
        <v>31-90 days</v>
      </c>
      <c r="K372" s="14" t="n">
        <f aca="false">INDEX(Assumptions!$B$11:$B$15,MATCH(J372,Assumptions!$A$11:$A$15,0))</f>
        <v>0.25</v>
      </c>
      <c r="L372" s="13" t="n">
        <f aca="false">H372*K372</f>
        <v>52125</v>
      </c>
      <c r="M372" s="13" t="n">
        <f aca="false">IF(I372&gt;Assumptions!$B$5,H372,0)</f>
        <v>208500</v>
      </c>
      <c r="N372" s="13" t="n">
        <f aca="false">IF(I372&gt;Assumptions!$B$6,H372,0)</f>
        <v>0</v>
      </c>
    </row>
    <row r="373" customFormat="false" ht="15" hidden="false" customHeight="false" outlineLevel="0" collapsed="false">
      <c r="A373" s="22" t="s">
        <v>457</v>
      </c>
      <c r="B373" s="22" t="s">
        <v>47</v>
      </c>
      <c r="C373" s="22" t="s">
        <v>52</v>
      </c>
      <c r="D373" s="23" t="n">
        <v>45383</v>
      </c>
      <c r="E373" s="24" t="n">
        <v>670000</v>
      </c>
      <c r="F373" s="25" t="n">
        <v>0.14</v>
      </c>
      <c r="G373" s="22" t="n">
        <v>36</v>
      </c>
      <c r="H373" s="24" t="n">
        <v>606300</v>
      </c>
      <c r="I373" s="22" t="n">
        <v>0</v>
      </c>
      <c r="J373" s="12" t="str">
        <f aca="false">IF(I373&lt;=0,"Current",IF(I373&lt;=30,"01-30 days",IF(I373&lt;=90,"31-90 days",IF(I373&lt;=180,"91-180 days","180+ days"))))</f>
        <v>Current</v>
      </c>
      <c r="K373" s="14" t="n">
        <f aca="false">INDEX(Assumptions!$B$11:$B$15,MATCH(J373,Assumptions!$A$11:$A$15,0))</f>
        <v>0.01</v>
      </c>
      <c r="L373" s="13" t="n">
        <f aca="false">H373*K373</f>
        <v>6063</v>
      </c>
      <c r="M373" s="13" t="n">
        <f aca="false">IF(I373&gt;Assumptions!$B$5,H373,0)</f>
        <v>0</v>
      </c>
      <c r="N373" s="13" t="n">
        <f aca="false">IF(I373&gt;Assumptions!$B$6,H373,0)</f>
        <v>0</v>
      </c>
    </row>
    <row r="374" customFormat="false" ht="15" hidden="false" customHeight="false" outlineLevel="0" collapsed="false">
      <c r="A374" s="22" t="s">
        <v>458</v>
      </c>
      <c r="B374" s="22" t="s">
        <v>44</v>
      </c>
      <c r="C374" s="22" t="s">
        <v>54</v>
      </c>
      <c r="D374" s="23" t="n">
        <v>45446</v>
      </c>
      <c r="E374" s="24" t="n">
        <v>181000</v>
      </c>
      <c r="F374" s="25" t="n">
        <v>0.15</v>
      </c>
      <c r="G374" s="22" t="n">
        <v>24</v>
      </c>
      <c r="H374" s="24" t="n">
        <v>81800</v>
      </c>
      <c r="I374" s="22" t="n">
        <v>0</v>
      </c>
      <c r="J374" s="12" t="str">
        <f aca="false">IF(I374&lt;=0,"Current",IF(I374&lt;=30,"01-30 days",IF(I374&lt;=90,"31-90 days",IF(I374&lt;=180,"91-180 days","180+ days"))))</f>
        <v>Current</v>
      </c>
      <c r="K374" s="14" t="n">
        <f aca="false">INDEX(Assumptions!$B$11:$B$15,MATCH(J374,Assumptions!$A$11:$A$15,0))</f>
        <v>0.01</v>
      </c>
      <c r="L374" s="13" t="n">
        <f aca="false">H374*K374</f>
        <v>818</v>
      </c>
      <c r="M374" s="13" t="n">
        <f aca="false">IF(I374&gt;Assumptions!$B$5,H374,0)</f>
        <v>0</v>
      </c>
      <c r="N374" s="13" t="n">
        <f aca="false">IF(I374&gt;Assumptions!$B$6,H374,0)</f>
        <v>0</v>
      </c>
    </row>
    <row r="375" customFormat="false" ht="15" hidden="false" customHeight="false" outlineLevel="0" collapsed="false">
      <c r="A375" s="22" t="s">
        <v>459</v>
      </c>
      <c r="B375" s="22" t="s">
        <v>49</v>
      </c>
      <c r="C375" s="22" t="s">
        <v>53</v>
      </c>
      <c r="D375" s="23" t="n">
        <v>45919</v>
      </c>
      <c r="E375" s="24" t="n">
        <v>129000</v>
      </c>
      <c r="F375" s="25" t="n">
        <v>0.18</v>
      </c>
      <c r="G375" s="22" t="n">
        <v>6</v>
      </c>
      <c r="H375" s="24" t="n">
        <v>116300</v>
      </c>
      <c r="I375" s="22" t="n">
        <v>81</v>
      </c>
      <c r="J375" s="12" t="str">
        <f aca="false">IF(I375&lt;=0,"Current",IF(I375&lt;=30,"01-30 days",IF(I375&lt;=90,"31-90 days",IF(I375&lt;=180,"91-180 days","180+ days"))))</f>
        <v>31-90 days</v>
      </c>
      <c r="K375" s="14" t="n">
        <f aca="false">INDEX(Assumptions!$B$11:$B$15,MATCH(J375,Assumptions!$A$11:$A$15,0))</f>
        <v>0.25</v>
      </c>
      <c r="L375" s="13" t="n">
        <f aca="false">H375*K375</f>
        <v>29075</v>
      </c>
      <c r="M375" s="13" t="n">
        <f aca="false">IF(I375&gt;Assumptions!$B$5,H375,0)</f>
        <v>116300</v>
      </c>
      <c r="N375" s="13" t="n">
        <f aca="false">IF(I375&gt;Assumptions!$B$6,H375,0)</f>
        <v>0</v>
      </c>
    </row>
    <row r="376" customFormat="false" ht="15" hidden="false" customHeight="false" outlineLevel="0" collapsed="false">
      <c r="A376" s="22" t="s">
        <v>460</v>
      </c>
      <c r="B376" s="22" t="s">
        <v>45</v>
      </c>
      <c r="C376" s="22" t="s">
        <v>53</v>
      </c>
      <c r="D376" s="23" t="n">
        <v>45600</v>
      </c>
      <c r="E376" s="24" t="n">
        <v>42000</v>
      </c>
      <c r="F376" s="25" t="n">
        <v>0.18</v>
      </c>
      <c r="G376" s="22" t="n">
        <v>6</v>
      </c>
      <c r="H376" s="24" t="n">
        <v>32600</v>
      </c>
      <c r="I376" s="22" t="n">
        <v>30</v>
      </c>
      <c r="J376" s="12" t="str">
        <f aca="false">IF(I376&lt;=0,"Current",IF(I376&lt;=30,"01-30 days",IF(I376&lt;=90,"31-90 days",IF(I376&lt;=180,"91-180 days","180+ days"))))</f>
        <v>01-30 days</v>
      </c>
      <c r="K376" s="14" t="n">
        <f aca="false">INDEX(Assumptions!$B$11:$B$15,MATCH(J376,Assumptions!$A$11:$A$15,0))</f>
        <v>0.05</v>
      </c>
      <c r="L376" s="13" t="n">
        <f aca="false">H376*K376</f>
        <v>1630</v>
      </c>
      <c r="M376" s="13" t="n">
        <f aca="false">IF(I376&gt;Assumptions!$B$5,H376,0)</f>
        <v>0</v>
      </c>
      <c r="N376" s="13" t="n">
        <f aca="false">IF(I376&gt;Assumptions!$B$6,H376,0)</f>
        <v>0</v>
      </c>
    </row>
    <row r="377" customFormat="false" ht="15" hidden="false" customHeight="false" outlineLevel="0" collapsed="false">
      <c r="A377" s="22" t="s">
        <v>461</v>
      </c>
      <c r="B377" s="22" t="s">
        <v>49</v>
      </c>
      <c r="C377" s="22" t="s">
        <v>52</v>
      </c>
      <c r="D377" s="23" t="n">
        <v>45996</v>
      </c>
      <c r="E377" s="24" t="n">
        <v>524000</v>
      </c>
      <c r="F377" s="25" t="n">
        <v>0.14</v>
      </c>
      <c r="G377" s="22" t="n">
        <v>36</v>
      </c>
      <c r="H377" s="24" t="n">
        <v>117400</v>
      </c>
      <c r="I377" s="22" t="n">
        <v>0</v>
      </c>
      <c r="J377" s="12" t="str">
        <f aca="false">IF(I377&lt;=0,"Current",IF(I377&lt;=30,"01-30 days",IF(I377&lt;=90,"31-90 days",IF(I377&lt;=180,"91-180 days","180+ days"))))</f>
        <v>Current</v>
      </c>
      <c r="K377" s="14" t="n">
        <f aca="false">INDEX(Assumptions!$B$11:$B$15,MATCH(J377,Assumptions!$A$11:$A$15,0))</f>
        <v>0.01</v>
      </c>
      <c r="L377" s="13" t="n">
        <f aca="false">H377*K377</f>
        <v>1174</v>
      </c>
      <c r="M377" s="13" t="n">
        <f aca="false">IF(I377&gt;Assumptions!$B$5,H377,0)</f>
        <v>0</v>
      </c>
      <c r="N377" s="13" t="n">
        <f aca="false">IF(I377&gt;Assumptions!$B$6,H377,0)</f>
        <v>0</v>
      </c>
    </row>
    <row r="378" customFormat="false" ht="15" hidden="false" customHeight="false" outlineLevel="0" collapsed="false">
      <c r="A378" s="22" t="s">
        <v>462</v>
      </c>
      <c r="B378" s="22" t="s">
        <v>47</v>
      </c>
      <c r="C378" s="22" t="s">
        <v>56</v>
      </c>
      <c r="D378" s="23" t="n">
        <v>45650</v>
      </c>
      <c r="E378" s="24" t="n">
        <v>370000</v>
      </c>
      <c r="F378" s="25" t="n">
        <v>0.16</v>
      </c>
      <c r="G378" s="22" t="n">
        <v>48</v>
      </c>
      <c r="H378" s="24" t="n">
        <v>74200</v>
      </c>
      <c r="I378" s="22" t="n">
        <v>26</v>
      </c>
      <c r="J378" s="12" t="str">
        <f aca="false">IF(I378&lt;=0,"Current",IF(I378&lt;=30,"01-30 days",IF(I378&lt;=90,"31-90 days",IF(I378&lt;=180,"91-180 days","180+ days"))))</f>
        <v>01-30 days</v>
      </c>
      <c r="K378" s="14" t="n">
        <f aca="false">INDEX(Assumptions!$B$11:$B$15,MATCH(J378,Assumptions!$A$11:$A$15,0))</f>
        <v>0.05</v>
      </c>
      <c r="L378" s="13" t="n">
        <f aca="false">H378*K378</f>
        <v>3710</v>
      </c>
      <c r="M378" s="13" t="n">
        <f aca="false">IF(I378&gt;Assumptions!$B$5,H378,0)</f>
        <v>0</v>
      </c>
      <c r="N378" s="13" t="n">
        <f aca="false">IF(I378&gt;Assumptions!$B$6,H378,0)</f>
        <v>0</v>
      </c>
    </row>
    <row r="379" customFormat="false" ht="15" hidden="false" customHeight="false" outlineLevel="0" collapsed="false">
      <c r="A379" s="22" t="s">
        <v>463</v>
      </c>
      <c r="B379" s="22" t="s">
        <v>45</v>
      </c>
      <c r="C379" s="22" t="s">
        <v>54</v>
      </c>
      <c r="D379" s="23" t="n">
        <v>45560</v>
      </c>
      <c r="E379" s="24" t="n">
        <v>250000</v>
      </c>
      <c r="F379" s="25" t="n">
        <v>0.15</v>
      </c>
      <c r="G379" s="22" t="n">
        <v>24</v>
      </c>
      <c r="H379" s="24" t="n">
        <v>52800</v>
      </c>
      <c r="I379" s="22" t="n">
        <v>0</v>
      </c>
      <c r="J379" s="12" t="str">
        <f aca="false">IF(I379&lt;=0,"Current",IF(I379&lt;=30,"01-30 days",IF(I379&lt;=90,"31-90 days",IF(I379&lt;=180,"91-180 days","180+ days"))))</f>
        <v>Current</v>
      </c>
      <c r="K379" s="14" t="n">
        <f aca="false">INDEX(Assumptions!$B$11:$B$15,MATCH(J379,Assumptions!$A$11:$A$15,0))</f>
        <v>0.01</v>
      </c>
      <c r="L379" s="13" t="n">
        <f aca="false">H379*K379</f>
        <v>528</v>
      </c>
      <c r="M379" s="13" t="n">
        <f aca="false">IF(I379&gt;Assumptions!$B$5,H379,0)</f>
        <v>0</v>
      </c>
      <c r="N379" s="13" t="n">
        <f aca="false">IF(I379&gt;Assumptions!$B$6,H379,0)</f>
        <v>0</v>
      </c>
    </row>
    <row r="380" customFormat="false" ht="15" hidden="false" customHeight="false" outlineLevel="0" collapsed="false">
      <c r="A380" s="22" t="s">
        <v>464</v>
      </c>
      <c r="B380" s="22" t="s">
        <v>44</v>
      </c>
      <c r="C380" s="22" t="s">
        <v>54</v>
      </c>
      <c r="D380" s="23" t="n">
        <v>45652</v>
      </c>
      <c r="E380" s="24" t="n">
        <v>319000</v>
      </c>
      <c r="F380" s="25" t="n">
        <v>0.15</v>
      </c>
      <c r="G380" s="22" t="n">
        <v>24</v>
      </c>
      <c r="H380" s="24" t="n">
        <v>236700</v>
      </c>
      <c r="I380" s="22" t="n">
        <v>0</v>
      </c>
      <c r="J380" s="12" t="str">
        <f aca="false">IF(I380&lt;=0,"Current",IF(I380&lt;=30,"01-30 days",IF(I380&lt;=90,"31-90 days",IF(I380&lt;=180,"91-180 days","180+ days"))))</f>
        <v>Current</v>
      </c>
      <c r="K380" s="14" t="n">
        <f aca="false">INDEX(Assumptions!$B$11:$B$15,MATCH(J380,Assumptions!$A$11:$A$15,0))</f>
        <v>0.01</v>
      </c>
      <c r="L380" s="13" t="n">
        <f aca="false">H380*K380</f>
        <v>2367</v>
      </c>
      <c r="M380" s="13" t="n">
        <f aca="false">IF(I380&gt;Assumptions!$B$5,H380,0)</f>
        <v>0</v>
      </c>
      <c r="N380" s="13" t="n">
        <f aca="false">IF(I380&gt;Assumptions!$B$6,H380,0)</f>
        <v>0</v>
      </c>
    </row>
    <row r="381" customFormat="false" ht="15" hidden="false" customHeight="false" outlineLevel="0" collapsed="false">
      <c r="A381" s="22" t="s">
        <v>465</v>
      </c>
      <c r="B381" s="22" t="s">
        <v>46</v>
      </c>
      <c r="C381" s="22" t="s">
        <v>53</v>
      </c>
      <c r="D381" s="23" t="n">
        <v>45632</v>
      </c>
      <c r="E381" s="24" t="n">
        <v>126000</v>
      </c>
      <c r="F381" s="25" t="n">
        <v>0.18</v>
      </c>
      <c r="G381" s="22" t="n">
        <v>6</v>
      </c>
      <c r="H381" s="24" t="n">
        <v>41800</v>
      </c>
      <c r="I381" s="22" t="n">
        <v>152</v>
      </c>
      <c r="J381" s="12" t="str">
        <f aca="false">IF(I381&lt;=0,"Current",IF(I381&lt;=30,"01-30 days",IF(I381&lt;=90,"31-90 days",IF(I381&lt;=180,"91-180 days","180+ days"))))</f>
        <v>91-180 days</v>
      </c>
      <c r="K381" s="14" t="n">
        <f aca="false">INDEX(Assumptions!$B$11:$B$15,MATCH(J381,Assumptions!$A$11:$A$15,0))</f>
        <v>0.5</v>
      </c>
      <c r="L381" s="13" t="n">
        <f aca="false">H381*K381</f>
        <v>20900</v>
      </c>
      <c r="M381" s="13" t="n">
        <f aca="false">IF(I381&gt;Assumptions!$B$5,H381,0)</f>
        <v>41800</v>
      </c>
      <c r="N381" s="13" t="n">
        <f aca="false">IF(I381&gt;Assumptions!$B$6,H381,0)</f>
        <v>41800</v>
      </c>
    </row>
    <row r="382" customFormat="false" ht="15" hidden="false" customHeight="false" outlineLevel="0" collapsed="false">
      <c r="A382" s="22" t="s">
        <v>466</v>
      </c>
      <c r="B382" s="22" t="s">
        <v>44</v>
      </c>
      <c r="C382" s="22" t="s">
        <v>56</v>
      </c>
      <c r="D382" s="23" t="n">
        <v>45879</v>
      </c>
      <c r="E382" s="24" t="n">
        <v>732000</v>
      </c>
      <c r="F382" s="25" t="n">
        <v>0.16</v>
      </c>
      <c r="G382" s="22" t="n">
        <v>48</v>
      </c>
      <c r="H382" s="24" t="n">
        <v>473300</v>
      </c>
      <c r="I382" s="22" t="n">
        <v>0</v>
      </c>
      <c r="J382" s="12" t="str">
        <f aca="false">IF(I382&lt;=0,"Current",IF(I382&lt;=30,"01-30 days",IF(I382&lt;=90,"31-90 days",IF(I382&lt;=180,"91-180 days","180+ days"))))</f>
        <v>Current</v>
      </c>
      <c r="K382" s="14" t="n">
        <f aca="false">INDEX(Assumptions!$B$11:$B$15,MATCH(J382,Assumptions!$A$11:$A$15,0))</f>
        <v>0.01</v>
      </c>
      <c r="L382" s="13" t="n">
        <f aca="false">H382*K382</f>
        <v>4733</v>
      </c>
      <c r="M382" s="13" t="n">
        <f aca="false">IF(I382&gt;Assumptions!$B$5,H382,0)</f>
        <v>0</v>
      </c>
      <c r="N382" s="13" t="n">
        <f aca="false">IF(I382&gt;Assumptions!$B$6,H382,0)</f>
        <v>0</v>
      </c>
    </row>
    <row r="383" customFormat="false" ht="15" hidden="false" customHeight="false" outlineLevel="0" collapsed="false">
      <c r="A383" s="22" t="s">
        <v>467</v>
      </c>
      <c r="B383" s="22" t="s">
        <v>48</v>
      </c>
      <c r="C383" s="22" t="s">
        <v>53</v>
      </c>
      <c r="D383" s="23" t="n">
        <v>45629</v>
      </c>
      <c r="E383" s="24" t="n">
        <v>99000</v>
      </c>
      <c r="F383" s="25" t="n">
        <v>0.18</v>
      </c>
      <c r="G383" s="22" t="n">
        <v>6</v>
      </c>
      <c r="H383" s="24" t="n">
        <v>37000</v>
      </c>
      <c r="I383" s="22" t="n">
        <v>0</v>
      </c>
      <c r="J383" s="12" t="str">
        <f aca="false">IF(I383&lt;=0,"Current",IF(I383&lt;=30,"01-30 days",IF(I383&lt;=90,"31-90 days",IF(I383&lt;=180,"91-180 days","180+ days"))))</f>
        <v>Current</v>
      </c>
      <c r="K383" s="14" t="n">
        <f aca="false">INDEX(Assumptions!$B$11:$B$15,MATCH(J383,Assumptions!$A$11:$A$15,0))</f>
        <v>0.01</v>
      </c>
      <c r="L383" s="13" t="n">
        <f aca="false">H383*K383</f>
        <v>370</v>
      </c>
      <c r="M383" s="13" t="n">
        <f aca="false">IF(I383&gt;Assumptions!$B$5,H383,0)</f>
        <v>0</v>
      </c>
      <c r="N383" s="13" t="n">
        <f aca="false">IF(I383&gt;Assumptions!$B$6,H383,0)</f>
        <v>0</v>
      </c>
    </row>
    <row r="384" customFormat="false" ht="15" hidden="false" customHeight="false" outlineLevel="0" collapsed="false">
      <c r="A384" s="22" t="s">
        <v>468</v>
      </c>
      <c r="B384" s="22" t="s">
        <v>48</v>
      </c>
      <c r="C384" s="22" t="s">
        <v>53</v>
      </c>
      <c r="D384" s="23" t="n">
        <v>45372</v>
      </c>
      <c r="E384" s="24" t="n">
        <v>28000</v>
      </c>
      <c r="F384" s="25" t="n">
        <v>0.18</v>
      </c>
      <c r="G384" s="22" t="n">
        <v>6</v>
      </c>
      <c r="H384" s="24" t="n">
        <v>22200</v>
      </c>
      <c r="I384" s="22" t="n">
        <v>0</v>
      </c>
      <c r="J384" s="12" t="str">
        <f aca="false">IF(I384&lt;=0,"Current",IF(I384&lt;=30,"01-30 days",IF(I384&lt;=90,"31-90 days",IF(I384&lt;=180,"91-180 days","180+ days"))))</f>
        <v>Current</v>
      </c>
      <c r="K384" s="14" t="n">
        <f aca="false">INDEX(Assumptions!$B$11:$B$15,MATCH(J384,Assumptions!$A$11:$A$15,0))</f>
        <v>0.01</v>
      </c>
      <c r="L384" s="13" t="n">
        <f aca="false">H384*K384</f>
        <v>222</v>
      </c>
      <c r="M384" s="13" t="n">
        <f aca="false">IF(I384&gt;Assumptions!$B$5,H384,0)</f>
        <v>0</v>
      </c>
      <c r="N384" s="13" t="n">
        <f aca="false">IF(I384&gt;Assumptions!$B$6,H384,0)</f>
        <v>0</v>
      </c>
    </row>
    <row r="385" customFormat="false" ht="15" hidden="false" customHeight="false" outlineLevel="0" collapsed="false">
      <c r="A385" s="22" t="s">
        <v>469</v>
      </c>
      <c r="B385" s="22" t="s">
        <v>47</v>
      </c>
      <c r="C385" s="22" t="s">
        <v>56</v>
      </c>
      <c r="D385" s="23" t="n">
        <v>45366</v>
      </c>
      <c r="E385" s="24" t="n">
        <v>700000</v>
      </c>
      <c r="F385" s="25" t="n">
        <v>0.16</v>
      </c>
      <c r="G385" s="22" t="n">
        <v>48</v>
      </c>
      <c r="H385" s="24" t="n">
        <v>371800</v>
      </c>
      <c r="I385" s="22" t="n">
        <v>18</v>
      </c>
      <c r="J385" s="12" t="str">
        <f aca="false">IF(I385&lt;=0,"Current",IF(I385&lt;=30,"01-30 days",IF(I385&lt;=90,"31-90 days",IF(I385&lt;=180,"91-180 days","180+ days"))))</f>
        <v>01-30 days</v>
      </c>
      <c r="K385" s="14" t="n">
        <f aca="false">INDEX(Assumptions!$B$11:$B$15,MATCH(J385,Assumptions!$A$11:$A$15,0))</f>
        <v>0.05</v>
      </c>
      <c r="L385" s="13" t="n">
        <f aca="false">H385*K385</f>
        <v>18590</v>
      </c>
      <c r="M385" s="13" t="n">
        <f aca="false">IF(I385&gt;Assumptions!$B$5,H385,0)</f>
        <v>0</v>
      </c>
      <c r="N385" s="13" t="n">
        <f aca="false">IF(I385&gt;Assumptions!$B$6,H385,0)</f>
        <v>0</v>
      </c>
    </row>
    <row r="386" customFormat="false" ht="15" hidden="false" customHeight="false" outlineLevel="0" collapsed="false">
      <c r="A386" s="22" t="s">
        <v>470</v>
      </c>
      <c r="B386" s="22" t="s">
        <v>49</v>
      </c>
      <c r="C386" s="22" t="s">
        <v>55</v>
      </c>
      <c r="D386" s="23" t="n">
        <v>45530</v>
      </c>
      <c r="E386" s="24" t="n">
        <v>64000</v>
      </c>
      <c r="F386" s="25" t="n">
        <v>0.12</v>
      </c>
      <c r="G386" s="22" t="n">
        <v>12</v>
      </c>
      <c r="H386" s="24" t="n">
        <v>32900</v>
      </c>
      <c r="I386" s="22" t="n">
        <v>0</v>
      </c>
      <c r="J386" s="12" t="str">
        <f aca="false">IF(I386&lt;=0,"Current",IF(I386&lt;=30,"01-30 days",IF(I386&lt;=90,"31-90 days",IF(I386&lt;=180,"91-180 days","180+ days"))))</f>
        <v>Current</v>
      </c>
      <c r="K386" s="14" t="n">
        <f aca="false">INDEX(Assumptions!$B$11:$B$15,MATCH(J386,Assumptions!$A$11:$A$15,0))</f>
        <v>0.01</v>
      </c>
      <c r="L386" s="13" t="n">
        <f aca="false">H386*K386</f>
        <v>329</v>
      </c>
      <c r="M386" s="13" t="n">
        <f aca="false">IF(I386&gt;Assumptions!$B$5,H386,0)</f>
        <v>0</v>
      </c>
      <c r="N386" s="13" t="n">
        <f aca="false">IF(I386&gt;Assumptions!$B$6,H386,0)</f>
        <v>0</v>
      </c>
    </row>
    <row r="387" customFormat="false" ht="15" hidden="false" customHeight="false" outlineLevel="0" collapsed="false">
      <c r="A387" s="22" t="s">
        <v>471</v>
      </c>
      <c r="B387" s="22" t="s">
        <v>45</v>
      </c>
      <c r="C387" s="22" t="s">
        <v>53</v>
      </c>
      <c r="D387" s="23" t="n">
        <v>46051</v>
      </c>
      <c r="E387" s="24" t="n">
        <v>117000</v>
      </c>
      <c r="F387" s="25" t="n">
        <v>0.18</v>
      </c>
      <c r="G387" s="22" t="n">
        <v>6</v>
      </c>
      <c r="H387" s="24" t="n">
        <v>103000</v>
      </c>
      <c r="I387" s="22" t="n">
        <v>0</v>
      </c>
      <c r="J387" s="12" t="str">
        <f aca="false">IF(I387&lt;=0,"Current",IF(I387&lt;=30,"01-30 days",IF(I387&lt;=90,"31-90 days",IF(I387&lt;=180,"91-180 days","180+ days"))))</f>
        <v>Current</v>
      </c>
      <c r="K387" s="14" t="n">
        <f aca="false">INDEX(Assumptions!$B$11:$B$15,MATCH(J387,Assumptions!$A$11:$A$15,0))</f>
        <v>0.01</v>
      </c>
      <c r="L387" s="13" t="n">
        <f aca="false">H387*K387</f>
        <v>1030</v>
      </c>
      <c r="M387" s="13" t="n">
        <f aca="false">IF(I387&gt;Assumptions!$B$5,H387,0)</f>
        <v>0</v>
      </c>
      <c r="N387" s="13" t="n">
        <f aca="false">IF(I387&gt;Assumptions!$B$6,H387,0)</f>
        <v>0</v>
      </c>
    </row>
    <row r="388" customFormat="false" ht="15" hidden="false" customHeight="false" outlineLevel="0" collapsed="false">
      <c r="A388" s="22" t="s">
        <v>472</v>
      </c>
      <c r="B388" s="22" t="s">
        <v>44</v>
      </c>
      <c r="C388" s="22" t="s">
        <v>52</v>
      </c>
      <c r="D388" s="23" t="n">
        <v>45358</v>
      </c>
      <c r="E388" s="24" t="n">
        <v>153000</v>
      </c>
      <c r="F388" s="25" t="n">
        <v>0.14</v>
      </c>
      <c r="G388" s="22" t="n">
        <v>36</v>
      </c>
      <c r="H388" s="24" t="n">
        <v>87900</v>
      </c>
      <c r="I388" s="22" t="n">
        <v>0</v>
      </c>
      <c r="J388" s="12" t="str">
        <f aca="false">IF(I388&lt;=0,"Current",IF(I388&lt;=30,"01-30 days",IF(I388&lt;=90,"31-90 days",IF(I388&lt;=180,"91-180 days","180+ days"))))</f>
        <v>Current</v>
      </c>
      <c r="K388" s="14" t="n">
        <f aca="false">INDEX(Assumptions!$B$11:$B$15,MATCH(J388,Assumptions!$A$11:$A$15,0))</f>
        <v>0.01</v>
      </c>
      <c r="L388" s="13" t="n">
        <f aca="false">H388*K388</f>
        <v>879</v>
      </c>
      <c r="M388" s="13" t="n">
        <f aca="false">IF(I388&gt;Assumptions!$B$5,H388,0)</f>
        <v>0</v>
      </c>
      <c r="N388" s="13" t="n">
        <f aca="false">IF(I388&gt;Assumptions!$B$6,H388,0)</f>
        <v>0</v>
      </c>
    </row>
    <row r="389" customFormat="false" ht="15" hidden="false" customHeight="false" outlineLevel="0" collapsed="false">
      <c r="A389" s="22" t="s">
        <v>473</v>
      </c>
      <c r="B389" s="22" t="s">
        <v>46</v>
      </c>
      <c r="C389" s="22" t="s">
        <v>53</v>
      </c>
      <c r="D389" s="23" t="n">
        <v>45431</v>
      </c>
      <c r="E389" s="24" t="n">
        <v>56000</v>
      </c>
      <c r="F389" s="25" t="n">
        <v>0.18</v>
      </c>
      <c r="G389" s="22" t="n">
        <v>6</v>
      </c>
      <c r="H389" s="24" t="n">
        <v>14000</v>
      </c>
      <c r="I389" s="22" t="n">
        <v>16</v>
      </c>
      <c r="J389" s="12" t="str">
        <f aca="false">IF(I389&lt;=0,"Current",IF(I389&lt;=30,"01-30 days",IF(I389&lt;=90,"31-90 days",IF(I389&lt;=180,"91-180 days","180+ days"))))</f>
        <v>01-30 days</v>
      </c>
      <c r="K389" s="14" t="n">
        <f aca="false">INDEX(Assumptions!$B$11:$B$15,MATCH(J389,Assumptions!$A$11:$A$15,0))</f>
        <v>0.05</v>
      </c>
      <c r="L389" s="13" t="n">
        <f aca="false">H389*K389</f>
        <v>700</v>
      </c>
      <c r="M389" s="13" t="n">
        <f aca="false">IF(I389&gt;Assumptions!$B$5,H389,0)</f>
        <v>0</v>
      </c>
      <c r="N389" s="13" t="n">
        <f aca="false">IF(I389&gt;Assumptions!$B$6,H389,0)</f>
        <v>0</v>
      </c>
    </row>
    <row r="390" customFormat="false" ht="15" hidden="false" customHeight="false" outlineLevel="0" collapsed="false">
      <c r="A390" s="22" t="s">
        <v>474</v>
      </c>
      <c r="B390" s="22" t="s">
        <v>44</v>
      </c>
      <c r="C390" s="22" t="s">
        <v>54</v>
      </c>
      <c r="D390" s="23" t="n">
        <v>46036</v>
      </c>
      <c r="E390" s="24" t="n">
        <v>71000</v>
      </c>
      <c r="F390" s="25" t="n">
        <v>0.15</v>
      </c>
      <c r="G390" s="22" t="n">
        <v>24</v>
      </c>
      <c r="H390" s="24" t="n">
        <v>24500</v>
      </c>
      <c r="I390" s="22" t="n">
        <v>22</v>
      </c>
      <c r="J390" s="12" t="str">
        <f aca="false">IF(I390&lt;=0,"Current",IF(I390&lt;=30,"01-30 days",IF(I390&lt;=90,"31-90 days",IF(I390&lt;=180,"91-180 days","180+ days"))))</f>
        <v>01-30 days</v>
      </c>
      <c r="K390" s="14" t="n">
        <f aca="false">INDEX(Assumptions!$B$11:$B$15,MATCH(J390,Assumptions!$A$11:$A$15,0))</f>
        <v>0.05</v>
      </c>
      <c r="L390" s="13" t="n">
        <f aca="false">H390*K390</f>
        <v>1225</v>
      </c>
      <c r="M390" s="13" t="n">
        <f aca="false">IF(I390&gt;Assumptions!$B$5,H390,0)</f>
        <v>0</v>
      </c>
      <c r="N390" s="13" t="n">
        <f aca="false">IF(I390&gt;Assumptions!$B$6,H390,0)</f>
        <v>0</v>
      </c>
    </row>
    <row r="391" customFormat="false" ht="15" hidden="false" customHeight="false" outlineLevel="0" collapsed="false">
      <c r="A391" s="22" t="s">
        <v>475</v>
      </c>
      <c r="B391" s="22" t="s">
        <v>44</v>
      </c>
      <c r="C391" s="22" t="s">
        <v>54</v>
      </c>
      <c r="D391" s="23" t="n">
        <v>45606</v>
      </c>
      <c r="E391" s="24" t="n">
        <v>124000</v>
      </c>
      <c r="F391" s="25" t="n">
        <v>0.15</v>
      </c>
      <c r="G391" s="22" t="n">
        <v>24</v>
      </c>
      <c r="H391" s="24" t="n">
        <v>112100</v>
      </c>
      <c r="I391" s="22" t="n">
        <v>6</v>
      </c>
      <c r="J391" s="12" t="str">
        <f aca="false">IF(I391&lt;=0,"Current",IF(I391&lt;=30,"01-30 days",IF(I391&lt;=90,"31-90 days",IF(I391&lt;=180,"91-180 days","180+ days"))))</f>
        <v>01-30 days</v>
      </c>
      <c r="K391" s="14" t="n">
        <f aca="false">INDEX(Assumptions!$B$11:$B$15,MATCH(J391,Assumptions!$A$11:$A$15,0))</f>
        <v>0.05</v>
      </c>
      <c r="L391" s="13" t="n">
        <f aca="false">H391*K391</f>
        <v>5605</v>
      </c>
      <c r="M391" s="13" t="n">
        <f aca="false">IF(I391&gt;Assumptions!$B$5,H391,0)</f>
        <v>0</v>
      </c>
      <c r="N391" s="13" t="n">
        <f aca="false">IF(I391&gt;Assumptions!$B$6,H391,0)</f>
        <v>0</v>
      </c>
    </row>
    <row r="392" customFormat="false" ht="15" hidden="false" customHeight="false" outlineLevel="0" collapsed="false">
      <c r="A392" s="22" t="s">
        <v>476</v>
      </c>
      <c r="B392" s="22" t="s">
        <v>45</v>
      </c>
      <c r="C392" s="22" t="s">
        <v>56</v>
      </c>
      <c r="D392" s="23" t="n">
        <v>46127</v>
      </c>
      <c r="E392" s="24" t="n">
        <v>451000</v>
      </c>
      <c r="F392" s="25" t="n">
        <v>0.16</v>
      </c>
      <c r="G392" s="22" t="n">
        <v>48</v>
      </c>
      <c r="H392" s="24" t="n">
        <v>182800</v>
      </c>
      <c r="I392" s="22" t="n">
        <v>0</v>
      </c>
      <c r="J392" s="12" t="str">
        <f aca="false">IF(I392&lt;=0,"Current",IF(I392&lt;=30,"01-30 days",IF(I392&lt;=90,"31-90 days",IF(I392&lt;=180,"91-180 days","180+ days"))))</f>
        <v>Current</v>
      </c>
      <c r="K392" s="14" t="n">
        <f aca="false">INDEX(Assumptions!$B$11:$B$15,MATCH(J392,Assumptions!$A$11:$A$15,0))</f>
        <v>0.01</v>
      </c>
      <c r="L392" s="13" t="n">
        <f aca="false">H392*K392</f>
        <v>1828</v>
      </c>
      <c r="M392" s="13" t="n">
        <f aca="false">IF(I392&gt;Assumptions!$B$5,H392,0)</f>
        <v>0</v>
      </c>
      <c r="N392" s="13" t="n">
        <f aca="false">IF(I392&gt;Assumptions!$B$6,H392,0)</f>
        <v>0</v>
      </c>
    </row>
    <row r="393" customFormat="false" ht="15" hidden="false" customHeight="false" outlineLevel="0" collapsed="false">
      <c r="A393" s="22" t="s">
        <v>477</v>
      </c>
      <c r="B393" s="22" t="s">
        <v>47</v>
      </c>
      <c r="C393" s="22" t="s">
        <v>56</v>
      </c>
      <c r="D393" s="23" t="n">
        <v>45985</v>
      </c>
      <c r="E393" s="24" t="n">
        <v>736000</v>
      </c>
      <c r="F393" s="25" t="n">
        <v>0.16</v>
      </c>
      <c r="G393" s="22" t="n">
        <v>48</v>
      </c>
      <c r="H393" s="24" t="n">
        <v>670000</v>
      </c>
      <c r="I393" s="22" t="n">
        <v>260</v>
      </c>
      <c r="J393" s="12" t="str">
        <f aca="false">IF(I393&lt;=0,"Current",IF(I393&lt;=30,"01-30 days",IF(I393&lt;=90,"31-90 days",IF(I393&lt;=180,"91-180 days","180+ days"))))</f>
        <v>180+ days</v>
      </c>
      <c r="K393" s="14" t="n">
        <f aca="false">INDEX(Assumptions!$B$11:$B$15,MATCH(J393,Assumptions!$A$11:$A$15,0))</f>
        <v>1</v>
      </c>
      <c r="L393" s="13" t="n">
        <f aca="false">H393*K393</f>
        <v>670000</v>
      </c>
      <c r="M393" s="13" t="n">
        <f aca="false">IF(I393&gt;Assumptions!$B$5,H393,0)</f>
        <v>670000</v>
      </c>
      <c r="N393" s="13" t="n">
        <f aca="false">IF(I393&gt;Assumptions!$B$6,H393,0)</f>
        <v>670000</v>
      </c>
    </row>
    <row r="394" customFormat="false" ht="15" hidden="false" customHeight="false" outlineLevel="0" collapsed="false">
      <c r="A394" s="22" t="s">
        <v>478</v>
      </c>
      <c r="B394" s="22" t="s">
        <v>46</v>
      </c>
      <c r="C394" s="22" t="s">
        <v>53</v>
      </c>
      <c r="D394" s="23" t="n">
        <v>46158</v>
      </c>
      <c r="E394" s="24" t="n">
        <v>104000</v>
      </c>
      <c r="F394" s="25" t="n">
        <v>0.18</v>
      </c>
      <c r="G394" s="22" t="n">
        <v>6</v>
      </c>
      <c r="H394" s="24" t="n">
        <v>70600</v>
      </c>
      <c r="I394" s="22" t="n">
        <v>16</v>
      </c>
      <c r="J394" s="12" t="str">
        <f aca="false">IF(I394&lt;=0,"Current",IF(I394&lt;=30,"01-30 days",IF(I394&lt;=90,"31-90 days",IF(I394&lt;=180,"91-180 days","180+ days"))))</f>
        <v>01-30 days</v>
      </c>
      <c r="K394" s="14" t="n">
        <f aca="false">INDEX(Assumptions!$B$11:$B$15,MATCH(J394,Assumptions!$A$11:$A$15,0))</f>
        <v>0.05</v>
      </c>
      <c r="L394" s="13" t="n">
        <f aca="false">H394*K394</f>
        <v>3530</v>
      </c>
      <c r="M394" s="13" t="n">
        <f aca="false">IF(I394&gt;Assumptions!$B$5,H394,0)</f>
        <v>0</v>
      </c>
      <c r="N394" s="13" t="n">
        <f aca="false">IF(I394&gt;Assumptions!$B$6,H394,0)</f>
        <v>0</v>
      </c>
    </row>
    <row r="395" customFormat="false" ht="15" hidden="false" customHeight="false" outlineLevel="0" collapsed="false">
      <c r="A395" s="22" t="s">
        <v>479</v>
      </c>
      <c r="B395" s="22" t="s">
        <v>46</v>
      </c>
      <c r="C395" s="22" t="s">
        <v>52</v>
      </c>
      <c r="D395" s="23" t="n">
        <v>45986</v>
      </c>
      <c r="E395" s="24" t="n">
        <v>295000</v>
      </c>
      <c r="F395" s="25" t="n">
        <v>0.14</v>
      </c>
      <c r="G395" s="22" t="n">
        <v>36</v>
      </c>
      <c r="H395" s="24" t="n">
        <v>91600</v>
      </c>
      <c r="I395" s="22" t="n">
        <v>0</v>
      </c>
      <c r="J395" s="12" t="str">
        <f aca="false">IF(I395&lt;=0,"Current",IF(I395&lt;=30,"01-30 days",IF(I395&lt;=90,"31-90 days",IF(I395&lt;=180,"91-180 days","180+ days"))))</f>
        <v>Current</v>
      </c>
      <c r="K395" s="14" t="n">
        <f aca="false">INDEX(Assumptions!$B$11:$B$15,MATCH(J395,Assumptions!$A$11:$A$15,0))</f>
        <v>0.01</v>
      </c>
      <c r="L395" s="13" t="n">
        <f aca="false">H395*K395</f>
        <v>916</v>
      </c>
      <c r="M395" s="13" t="n">
        <f aca="false">IF(I395&gt;Assumptions!$B$5,H395,0)</f>
        <v>0</v>
      </c>
      <c r="N395" s="13" t="n">
        <f aca="false">IF(I395&gt;Assumptions!$B$6,H395,0)</f>
        <v>0</v>
      </c>
    </row>
    <row r="396" customFormat="false" ht="15" hidden="false" customHeight="false" outlineLevel="0" collapsed="false">
      <c r="A396" s="22" t="s">
        <v>480</v>
      </c>
      <c r="B396" s="22" t="s">
        <v>44</v>
      </c>
      <c r="C396" s="22" t="s">
        <v>56</v>
      </c>
      <c r="D396" s="23" t="n">
        <v>45338</v>
      </c>
      <c r="E396" s="24" t="n">
        <v>1020000</v>
      </c>
      <c r="F396" s="25" t="n">
        <v>0.16</v>
      </c>
      <c r="G396" s="22" t="n">
        <v>48</v>
      </c>
      <c r="H396" s="24" t="n">
        <v>619700</v>
      </c>
      <c r="I396" s="22" t="n">
        <v>0</v>
      </c>
      <c r="J396" s="12" t="str">
        <f aca="false">IF(I396&lt;=0,"Current",IF(I396&lt;=30,"01-30 days",IF(I396&lt;=90,"31-90 days",IF(I396&lt;=180,"91-180 days","180+ days"))))</f>
        <v>Current</v>
      </c>
      <c r="K396" s="14" t="n">
        <f aca="false">INDEX(Assumptions!$B$11:$B$15,MATCH(J396,Assumptions!$A$11:$A$15,0))</f>
        <v>0.01</v>
      </c>
      <c r="L396" s="13" t="n">
        <f aca="false">H396*K396</f>
        <v>6197</v>
      </c>
      <c r="M396" s="13" t="n">
        <f aca="false">IF(I396&gt;Assumptions!$B$5,H396,0)</f>
        <v>0</v>
      </c>
      <c r="N396" s="13" t="n">
        <f aca="false">IF(I396&gt;Assumptions!$B$6,H396,0)</f>
        <v>0</v>
      </c>
    </row>
    <row r="397" customFormat="false" ht="15" hidden="false" customHeight="false" outlineLevel="0" collapsed="false">
      <c r="A397" s="22" t="s">
        <v>481</v>
      </c>
      <c r="B397" s="22" t="s">
        <v>44</v>
      </c>
      <c r="C397" s="22" t="s">
        <v>53</v>
      </c>
      <c r="D397" s="23" t="n">
        <v>45803</v>
      </c>
      <c r="E397" s="24" t="n">
        <v>25000</v>
      </c>
      <c r="F397" s="25" t="n">
        <v>0.18</v>
      </c>
      <c r="G397" s="22" t="n">
        <v>6</v>
      </c>
      <c r="H397" s="24" t="n">
        <v>5500</v>
      </c>
      <c r="I397" s="22" t="n">
        <v>0</v>
      </c>
      <c r="J397" s="12" t="str">
        <f aca="false">IF(I397&lt;=0,"Current",IF(I397&lt;=30,"01-30 days",IF(I397&lt;=90,"31-90 days",IF(I397&lt;=180,"91-180 days","180+ days"))))</f>
        <v>Current</v>
      </c>
      <c r="K397" s="14" t="n">
        <f aca="false">INDEX(Assumptions!$B$11:$B$15,MATCH(J397,Assumptions!$A$11:$A$15,0))</f>
        <v>0.01</v>
      </c>
      <c r="L397" s="13" t="n">
        <f aca="false">H397*K397</f>
        <v>55</v>
      </c>
      <c r="M397" s="13" t="n">
        <f aca="false">IF(I397&gt;Assumptions!$B$5,H397,0)</f>
        <v>0</v>
      </c>
      <c r="N397" s="13" t="n">
        <f aca="false">IF(I397&gt;Assumptions!$B$6,H397,0)</f>
        <v>0</v>
      </c>
    </row>
    <row r="398" customFormat="false" ht="15" hidden="false" customHeight="false" outlineLevel="0" collapsed="false">
      <c r="A398" s="22" t="s">
        <v>482</v>
      </c>
      <c r="B398" s="22" t="s">
        <v>47</v>
      </c>
      <c r="C398" s="22" t="s">
        <v>52</v>
      </c>
      <c r="D398" s="23" t="n">
        <v>45462</v>
      </c>
      <c r="E398" s="24" t="n">
        <v>576000</v>
      </c>
      <c r="F398" s="25" t="n">
        <v>0.14</v>
      </c>
      <c r="G398" s="22" t="n">
        <v>36</v>
      </c>
      <c r="H398" s="24" t="n">
        <v>125800</v>
      </c>
      <c r="I398" s="22" t="n">
        <v>0</v>
      </c>
      <c r="J398" s="12" t="str">
        <f aca="false">IF(I398&lt;=0,"Current",IF(I398&lt;=30,"01-30 days",IF(I398&lt;=90,"31-90 days",IF(I398&lt;=180,"91-180 days","180+ days"))))</f>
        <v>Current</v>
      </c>
      <c r="K398" s="14" t="n">
        <f aca="false">INDEX(Assumptions!$B$11:$B$15,MATCH(J398,Assumptions!$A$11:$A$15,0))</f>
        <v>0.01</v>
      </c>
      <c r="L398" s="13" t="n">
        <f aca="false">H398*K398</f>
        <v>1258</v>
      </c>
      <c r="M398" s="13" t="n">
        <f aca="false">IF(I398&gt;Assumptions!$B$5,H398,0)</f>
        <v>0</v>
      </c>
      <c r="N398" s="13" t="n">
        <f aca="false">IF(I398&gt;Assumptions!$B$6,H398,0)</f>
        <v>0</v>
      </c>
    </row>
    <row r="399" customFormat="false" ht="15" hidden="false" customHeight="false" outlineLevel="0" collapsed="false">
      <c r="A399" s="22" t="s">
        <v>483</v>
      </c>
      <c r="B399" s="22" t="s">
        <v>45</v>
      </c>
      <c r="C399" s="22" t="s">
        <v>52</v>
      </c>
      <c r="D399" s="23" t="n">
        <v>45670</v>
      </c>
      <c r="E399" s="24" t="n">
        <v>444000</v>
      </c>
      <c r="F399" s="25" t="n">
        <v>0.14</v>
      </c>
      <c r="G399" s="22" t="n">
        <v>36</v>
      </c>
      <c r="H399" s="24" t="n">
        <v>175600</v>
      </c>
      <c r="I399" s="22" t="n">
        <v>0</v>
      </c>
      <c r="J399" s="12" t="str">
        <f aca="false">IF(I399&lt;=0,"Current",IF(I399&lt;=30,"01-30 days",IF(I399&lt;=90,"31-90 days",IF(I399&lt;=180,"91-180 days","180+ days"))))</f>
        <v>Current</v>
      </c>
      <c r="K399" s="14" t="n">
        <f aca="false">INDEX(Assumptions!$B$11:$B$15,MATCH(J399,Assumptions!$A$11:$A$15,0))</f>
        <v>0.01</v>
      </c>
      <c r="L399" s="13" t="n">
        <f aca="false">H399*K399</f>
        <v>1756</v>
      </c>
      <c r="M399" s="13" t="n">
        <f aca="false">IF(I399&gt;Assumptions!$B$5,H399,0)</f>
        <v>0</v>
      </c>
      <c r="N399" s="13" t="n">
        <f aca="false">IF(I399&gt;Assumptions!$B$6,H399,0)</f>
        <v>0</v>
      </c>
    </row>
    <row r="400" customFormat="false" ht="15" hidden="false" customHeight="false" outlineLevel="0" collapsed="false">
      <c r="A400" s="22" t="s">
        <v>484</v>
      </c>
      <c r="B400" s="22" t="s">
        <v>47</v>
      </c>
      <c r="C400" s="22" t="s">
        <v>54</v>
      </c>
      <c r="D400" s="23" t="n">
        <v>45731</v>
      </c>
      <c r="E400" s="24" t="n">
        <v>369000</v>
      </c>
      <c r="F400" s="25" t="n">
        <v>0.15</v>
      </c>
      <c r="G400" s="22" t="n">
        <v>24</v>
      </c>
      <c r="H400" s="24" t="n">
        <v>279400</v>
      </c>
      <c r="I400" s="22" t="n">
        <v>87</v>
      </c>
      <c r="J400" s="12" t="str">
        <f aca="false">IF(I400&lt;=0,"Current",IF(I400&lt;=30,"01-30 days",IF(I400&lt;=90,"31-90 days",IF(I400&lt;=180,"91-180 days","180+ days"))))</f>
        <v>31-90 days</v>
      </c>
      <c r="K400" s="14" t="n">
        <f aca="false">INDEX(Assumptions!$B$11:$B$15,MATCH(J400,Assumptions!$A$11:$A$15,0))</f>
        <v>0.25</v>
      </c>
      <c r="L400" s="13" t="n">
        <f aca="false">H400*K400</f>
        <v>69850</v>
      </c>
      <c r="M400" s="13" t="n">
        <f aca="false">IF(I400&gt;Assumptions!$B$5,H400,0)</f>
        <v>279400</v>
      </c>
      <c r="N400" s="13" t="n">
        <f aca="false">IF(I400&gt;Assumptions!$B$6,H400,0)</f>
        <v>0</v>
      </c>
    </row>
    <row r="401" customFormat="false" ht="15" hidden="false" customHeight="false" outlineLevel="0" collapsed="false">
      <c r="A401" s="22" t="s">
        <v>485</v>
      </c>
      <c r="B401" s="22" t="s">
        <v>46</v>
      </c>
      <c r="C401" s="22" t="s">
        <v>55</v>
      </c>
      <c r="D401" s="23" t="n">
        <v>45530</v>
      </c>
      <c r="E401" s="24" t="n">
        <v>95000</v>
      </c>
      <c r="F401" s="25" t="n">
        <v>0.12</v>
      </c>
      <c r="G401" s="22" t="n">
        <v>12</v>
      </c>
      <c r="H401" s="24" t="n">
        <v>42700</v>
      </c>
      <c r="I401" s="22" t="n">
        <v>0</v>
      </c>
      <c r="J401" s="12" t="str">
        <f aca="false">IF(I401&lt;=0,"Current",IF(I401&lt;=30,"01-30 days",IF(I401&lt;=90,"31-90 days",IF(I401&lt;=180,"91-180 days","180+ days"))))</f>
        <v>Current</v>
      </c>
      <c r="K401" s="14" t="n">
        <f aca="false">INDEX(Assumptions!$B$11:$B$15,MATCH(J401,Assumptions!$A$11:$A$15,0))</f>
        <v>0.01</v>
      </c>
      <c r="L401" s="13" t="n">
        <f aca="false">H401*K401</f>
        <v>427</v>
      </c>
      <c r="M401" s="13" t="n">
        <f aca="false">IF(I401&gt;Assumptions!$B$5,H401,0)</f>
        <v>0</v>
      </c>
      <c r="N401" s="13" t="n">
        <f aca="false">IF(I401&gt;Assumptions!$B$6,H401,0)</f>
        <v>0</v>
      </c>
    </row>
  </sheetData>
  <autoFilter ref="A1:N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2026-10-01T10:53:00Z</dcterms:created>
  <dc:creator>openpyxl</dc:creator>
  <dc:description/>
  <dc:language>en-US</dc:language>
  <cp:lastModifiedBy/>
  <dcterms:modified xsi:type="dcterms:W3CDTF">2026-10-01T10:53:06Z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