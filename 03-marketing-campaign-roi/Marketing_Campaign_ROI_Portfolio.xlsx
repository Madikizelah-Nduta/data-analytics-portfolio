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3"/>
    <sheet name="Dashboard" sheetId="2" state="visible" r:id="rId4"/>
    <sheet name="Assumptions" sheetId="3" state="visible" r:id="rId5"/>
    <sheet name="Campaigns" sheetId="4" state="visible" r:id="rId6"/>
    <sheet name="Daily_Performance" sheetId="5" state="visible" r:id="rId7"/>
  </sheets>
  <definedNames>
    <definedName function="false" hidden="true" localSheetId="3" name="_xlnm._FilterDatabase" vbProcedure="false">Campaigns!$A$1:$V$31</definedName>
    <definedName function="false" hidden="true" localSheetId="4" name="_xlnm._FilterDatabase" vbProcedure="false">Daily_Performance!$A$1:$J$1311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<sst xmlns="http://schemas.openxmlformats.org/spreadsheetml/2006/main" count="1570" uniqueCount="166">
  <si>
    <t xml:space="preserve">Digital Marketing Performance &amp; ROI – Marketing Analytics Portfolio Project</t>
  </si>
  <si>
    <t xml:space="preserve">BZME Insights  |  Sector: Marketing / E-commerce  |  Tool: Excel (formula-driven)</t>
  </si>
  <si>
    <t xml:space="preserve">BUSINESS PROBLEM</t>
  </si>
  <si>
    <t xml:space="preserve">An online retailer runs 30 campaigns across six channels, but the marketing manager cannot see which channels and campaigns earn their budget, and which should be scaled, fixed or stopped. This workbook gives that decision view.</t>
  </si>
  <si>
    <t xml:space="preserve">BUSINESS QUESTIONS</t>
  </si>
  <si>
    <t xml:space="preserve">1. What return (ROAS) does each channel and campaign deliver?</t>
  </si>
  <si>
    <t xml:space="preserve">2. Where is spend not earning its keep?</t>
  </si>
  <si>
    <t xml:space="preserve">3. What are the cost per order and cost per lead by channel?</t>
  </si>
  <si>
    <t xml:space="preserve">4. Which campaigns overspent their budget?</t>
  </si>
  <si>
    <t xml:space="preserve">5. What could reallocating budget add in revenue?</t>
  </si>
  <si>
    <t xml:space="preserve">HOW THE WORKBOOK IS BUILT</t>
  </si>
  <si>
    <t xml:space="preserve">Daily_Performance: 1,310 campaign-day records (impressions, clicks, leads, orders, revenue, spend), Jul-Sep 2026.</t>
  </si>
  <si>
    <t xml:space="preserve">Campaigns: 30 campaigns with budget, dates and formula metrics (CTR, cost per click/lead/order, ROAS, conversion rate, budget used, recommended action).</t>
  </si>
  <si>
    <t xml:space="preserve">Assumptions: ROAS thresholds and reallocation efficiency. Blue = input.</t>
  </si>
  <si>
    <t xml:space="preserve">Dashboard: KPIs, key findings, channel table, action summary, best/worst campaigns, reallocation scenario and charts.</t>
  </si>
  <si>
    <t xml:space="preserve">KEY DEFINITIONS</t>
  </si>
  <si>
    <t xml:space="preserve">ROAS = revenue ÷ ad spend. CTR = clicks ÷ impressions. Conversion rate = orders ÷ clicks.</t>
  </si>
  <si>
    <t xml:space="preserve">Action: Scale (ROAS at or above threshold), Optimise (in between), Pause / Rework (below threshold). Awareness campaigns are reviewed on reach, not ROAS.</t>
  </si>
  <si>
    <t xml:space="preserve">Reallocation scenario: moves 'Pause / Rework' spend to better campaigns and assumes only part of their proven ROAS is achievable.</t>
  </si>
  <si>
    <t xml:space="preserve">IMPORTANT NOTES</t>
  </si>
  <si>
    <t xml:space="preserve">All data is synthetic and generated for demonstration; no real company or advertising account is used.</t>
  </si>
  <si>
    <t xml:space="preserve">ROAS is based on attributed revenue in the data and ignores margin and returns. A real engagement would also use profit-based ROAS.</t>
  </si>
  <si>
    <t xml:space="preserve">Findings update live when assumptions change.</t>
  </si>
  <si>
    <t xml:space="preserve">RECOMMENDATIONS (FRAMEWORK)</t>
  </si>
  <si>
    <t xml:space="preserve">Shift budget from low-ROAS campaigns into proven campaigns, in steps, while monitoring ROAS.</t>
  </si>
  <si>
    <t xml:space="preserve">Fix or pause campaigns below the ROAS threshold; test new creative and audiences before relaunching.</t>
  </si>
  <si>
    <t xml:space="preserve">Use owned channels (email, WhatsApp) for retention and repeat orders, since they are low cost per order.</t>
  </si>
  <si>
    <t xml:space="preserve">Set weekly budget pacing alerts to stop overspend.</t>
  </si>
  <si>
    <t xml:space="preserve">Digital Marketing Performance &amp; ROI Dashboard</t>
  </si>
  <si>
    <t xml:space="preserve">TOTAL AD SPEND (KES)</t>
  </si>
  <si>
    <t xml:space="preserve">REVENUE (KES)</t>
  </si>
  <si>
    <t xml:space="preserve">ROAS (REVENUE / SPEND)</t>
  </si>
  <si>
    <t xml:space="preserve">ORDERS</t>
  </si>
  <si>
    <t xml:space="preserve">COST PER ORDER (KES)</t>
  </si>
  <si>
    <t xml:space="preserve">LEADS</t>
  </si>
  <si>
    <t xml:space="preserve">Key findings (update automatically)</t>
  </si>
  <si>
    <t xml:space="preserve">1. Monthly trend</t>
  </si>
  <si>
    <t xml:space="preserve">Month start</t>
  </si>
  <si>
    <t xml:space="preserve">Month</t>
  </si>
  <si>
    <t xml:space="preserve">Spend (KES)</t>
  </si>
  <si>
    <t xml:space="preserve">Revenue (KES)</t>
  </si>
  <si>
    <t xml:space="preserve">ROAS</t>
  </si>
  <si>
    <t xml:space="preserve">Orders</t>
  </si>
  <si>
    <t xml:space="preserve">2. Channel performance</t>
  </si>
  <si>
    <t xml:space="preserve">Channel</t>
  </si>
  <si>
    <t xml:space="preserve">Cost per Order (KES)</t>
  </si>
  <si>
    <t xml:space="preserve">CTR</t>
  </si>
  <si>
    <t xml:space="preserve">Conv. Rate</t>
  </si>
  <si>
    <t xml:space="preserve">% of Spend</t>
  </si>
  <si>
    <t xml:space="preserve">% of Revenue</t>
  </si>
  <si>
    <t xml:space="preserve">Facebook &amp; Instagram Ads</t>
  </si>
  <si>
    <t xml:space="preserve">Google Search Ads</t>
  </si>
  <si>
    <t xml:space="preserve">TikTok Ads</t>
  </si>
  <si>
    <t xml:space="preserve">Email</t>
  </si>
  <si>
    <t xml:space="preserve">WhatsApp Broadcast</t>
  </si>
  <si>
    <t xml:space="preserve">Influencer Partnerships</t>
  </si>
  <si>
    <t xml:space="preserve">Total</t>
  </si>
  <si>
    <t xml:space="preserve">3. Campaign actions (based on ROAS thresholds in Assumptions)</t>
  </si>
  <si>
    <t xml:space="preserve">Action</t>
  </si>
  <si>
    <t xml:space="preserve">Campaigns</t>
  </si>
  <si>
    <t xml:space="preserve">Scale</t>
  </si>
  <si>
    <t xml:space="preserve">Optimise</t>
  </si>
  <si>
    <t xml:space="preserve">Pause / Rework</t>
  </si>
  <si>
    <t xml:space="preserve">Review (awareness)</t>
  </si>
  <si>
    <t xml:space="preserve">4. Best and worst campaigns by ROAS (excluding awareness)</t>
  </si>
  <si>
    <t xml:space="preserve">Top 5 by ROAS</t>
  </si>
  <si>
    <t xml:space="preserve">Bottom 5 by ROAS</t>
  </si>
  <si>
    <t xml:space="preserve">Rank</t>
  </si>
  <si>
    <t xml:space="preserve">Campaign</t>
  </si>
  <si>
    <t xml:space="preserve">5. Budget reallocation scenario (estimate)</t>
  </si>
  <si>
    <t xml:space="preserve">Spend on 'Pause / Rework' campaigns (KES)</t>
  </si>
  <si>
    <t xml:space="preserve">Revenue those campaigns generate today (KES)</t>
  </si>
  <si>
    <t xml:space="preserve">Blended ROAS of 'Scale' + 'Optimise' campaigns</t>
  </si>
  <si>
    <t xml:space="preserve">Assumed ROAS on moved spend (after efficiency haircut)</t>
  </si>
  <si>
    <t xml:space="preserve">Expected revenue from the moved spend (KES)</t>
  </si>
  <si>
    <t xml:space="preserve">Estimated revenue uplift (KES)</t>
  </si>
  <si>
    <t xml:space="preserve">Estimate only: assumes a share of today's proven returns holds when budget moves. Adjust the efficiency input in Assumptions.</t>
  </si>
  <si>
    <t xml:space="preserve">Assumptions &amp; Parameters</t>
  </si>
  <si>
    <t xml:space="preserve">Blue cells are editable inputs. Everything else recalculates from them.</t>
  </si>
  <si>
    <t xml:space="preserve">As-of date</t>
  </si>
  <si>
    <t xml:space="preserve">Last day of data.</t>
  </si>
  <si>
    <t xml:space="preserve">Period start</t>
  </si>
  <si>
    <t xml:space="preserve">First day of data.</t>
  </si>
  <si>
    <t xml:space="preserve">Months in period</t>
  </si>
  <si>
    <t xml:space="preserve">Calculated.</t>
  </si>
  <si>
    <t xml:space="preserve">Scale: ROAS at or above</t>
  </si>
  <si>
    <t xml:space="preserve">Return on ad spend (revenue / spend). Campaign is a candidate to scale.</t>
  </si>
  <si>
    <t xml:space="preserve">Pause / rework: ROAS below</t>
  </si>
  <si>
    <t xml:space="preserve">Below this, spend is not earning its keep.</t>
  </si>
  <si>
    <t xml:space="preserve">Reallocation efficiency</t>
  </si>
  <si>
    <t xml:space="preserve">Share of the proven (Scale + Optimise) ROAS assumed achievable on moved budget, because returns diminish as spend grows.</t>
  </si>
  <si>
    <t xml:space="preserve">Between the two ROAS thresholds a campaign is 'Optimise'. Awareness campaigns are reviewed on reach and cost per 1,000 impressions, not ROAS.</t>
  </si>
  <si>
    <t xml:space="preserve">CampaignID</t>
  </si>
  <si>
    <t xml:space="preserve">Objective</t>
  </si>
  <si>
    <t xml:space="preserve">Start</t>
  </si>
  <si>
    <t xml:space="preserve">End</t>
  </si>
  <si>
    <t xml:space="preserve">Budget (KES)</t>
  </si>
  <si>
    <t xml:space="preserve">Impressions</t>
  </si>
  <si>
    <t xml:space="preserve">Clicks</t>
  </si>
  <si>
    <t xml:space="preserve">Leads</t>
  </si>
  <si>
    <t xml:space="preserve">Cost per Click</t>
  </si>
  <si>
    <t xml:space="preserve">Cost per Lead</t>
  </si>
  <si>
    <t xml:space="preserve">Cost per Order</t>
  </si>
  <si>
    <t xml:space="preserve">Budget Used</t>
  </si>
  <si>
    <t xml:space="preserve">ROAS Rank</t>
  </si>
  <si>
    <t xml:space="preserve">CMP001</t>
  </si>
  <si>
    <t xml:space="preserve">Google - Cart Recovery</t>
  </si>
  <si>
    <t xml:space="preserve">Sales</t>
  </si>
  <si>
    <t xml:space="preserve">CMP002</t>
  </si>
  <si>
    <t xml:space="preserve">Email - Clearance Event</t>
  </si>
  <si>
    <t xml:space="preserve">CMP003</t>
  </si>
  <si>
    <t xml:space="preserve">Influencer - Loyalty Rewards</t>
  </si>
  <si>
    <t xml:space="preserve">CMP004</t>
  </si>
  <si>
    <t xml:space="preserve">WhatsApp - Payday Promo</t>
  </si>
  <si>
    <t xml:space="preserve">CMP005</t>
  </si>
  <si>
    <t xml:space="preserve">WhatsApp - Weekend Flash Deal</t>
  </si>
  <si>
    <t xml:space="preserve">CMP006</t>
  </si>
  <si>
    <t xml:space="preserve">Facebook - Brand Story</t>
  </si>
  <si>
    <t xml:space="preserve">CMP007</t>
  </si>
  <si>
    <t xml:space="preserve">Google - Referral Bonus</t>
  </si>
  <si>
    <t xml:space="preserve">CMP008</t>
  </si>
  <si>
    <t xml:space="preserve">TikTok - Free Delivery Week</t>
  </si>
  <si>
    <t xml:space="preserve">CMP009</t>
  </si>
  <si>
    <t xml:space="preserve">TikTok - Festive Preview</t>
  </si>
  <si>
    <t xml:space="preserve">CMP010</t>
  </si>
  <si>
    <t xml:space="preserve">Email - New Arrivals</t>
  </si>
  <si>
    <t xml:space="preserve">CMP011</t>
  </si>
  <si>
    <t xml:space="preserve">TikTok - Home Makeover Guide</t>
  </si>
  <si>
    <t xml:space="preserve">CMP012</t>
  </si>
  <si>
    <t xml:space="preserve">Google - Back-to-School Sale</t>
  </si>
  <si>
    <t xml:space="preserve">CMP013</t>
  </si>
  <si>
    <t xml:space="preserve">WhatsApp - Cart Recovery</t>
  </si>
  <si>
    <t xml:space="preserve">CMP014</t>
  </si>
  <si>
    <t xml:space="preserve">Facebook - Clearance Event</t>
  </si>
  <si>
    <t xml:space="preserve">CMP015</t>
  </si>
  <si>
    <t xml:space="preserve">WhatsApp - Loyalty Rewards</t>
  </si>
  <si>
    <t xml:space="preserve">CMP016</t>
  </si>
  <si>
    <t xml:space="preserve">Email - Payday Promo</t>
  </si>
  <si>
    <t xml:space="preserve">CMP017</t>
  </si>
  <si>
    <t xml:space="preserve">CMP018</t>
  </si>
  <si>
    <t xml:space="preserve">TikTok - Brand Story</t>
  </si>
  <si>
    <t xml:space="preserve">CMP019</t>
  </si>
  <si>
    <t xml:space="preserve">Email - Referral Bonus</t>
  </si>
  <si>
    <t xml:space="preserve">CMP020</t>
  </si>
  <si>
    <t xml:space="preserve">Google - Free Delivery Week</t>
  </si>
  <si>
    <t xml:space="preserve">CMP021</t>
  </si>
  <si>
    <t xml:space="preserve">Google - Festive Preview</t>
  </si>
  <si>
    <t xml:space="preserve">CMP022</t>
  </si>
  <si>
    <t xml:space="preserve">Facebook - New Arrivals</t>
  </si>
  <si>
    <t xml:space="preserve">Awareness</t>
  </si>
  <si>
    <t xml:space="preserve">CMP023</t>
  </si>
  <si>
    <t xml:space="preserve">Influencer - Home Makeover Guide</t>
  </si>
  <si>
    <t xml:space="preserve">CMP024</t>
  </si>
  <si>
    <t xml:space="preserve">Influencer - Back-to-School Sale</t>
  </si>
  <si>
    <t xml:space="preserve">CMP025</t>
  </si>
  <si>
    <t xml:space="preserve">Influencer - Cart Recovery</t>
  </si>
  <si>
    <t xml:space="preserve">CMP026</t>
  </si>
  <si>
    <t xml:space="preserve">TikTok - Clearance Event</t>
  </si>
  <si>
    <t xml:space="preserve">CMP027</t>
  </si>
  <si>
    <t xml:space="preserve">CMP028</t>
  </si>
  <si>
    <t xml:space="preserve">Facebook - Payday Promo</t>
  </si>
  <si>
    <t xml:space="preserve">CMP029</t>
  </si>
  <si>
    <t xml:space="preserve">Facebook - Weekend Flash Deal</t>
  </si>
  <si>
    <t xml:space="preserve">CMP030</t>
  </si>
  <si>
    <t xml:space="preserve">Email - Brand Story</t>
  </si>
  <si>
    <t xml:space="preserve">Date</t>
  </si>
</sst>
</file>

<file path=xl/styles.xml><?xml version="1.0" encoding="utf-8"?>
<styleSheet xmlns="http://schemas.openxmlformats.org/spreadsheetml/2006/main">
  <numFmts count="10">
    <numFmt numFmtId="164" formatCode="General"/>
    <numFmt numFmtId="165" formatCode="#,##0"/>
    <numFmt numFmtId="166" formatCode="0.0"/>
    <numFmt numFmtId="167" formatCode="mmm\ yyyy"/>
    <numFmt numFmtId="168" formatCode="0.00%"/>
    <numFmt numFmtId="169" formatCode="0.0%"/>
    <numFmt numFmtId="170" formatCode="yyyy\-mm\-dd"/>
    <numFmt numFmtId="171" formatCode="0"/>
    <numFmt numFmtId="172" formatCode="0%"/>
    <numFmt numFmtId="173" formatCode="#,##0.0"/>
  </numFmts>
  <fonts count="19">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7F6000"/>
      <name val="Arial"/>
      <family val="0"/>
      <charset val="1"/>
    </font>
    <font>
      <b val="true"/>
      <sz val="10"/>
      <color rgb="FFFFFFFF"/>
      <name val="Arial"/>
      <family val="0"/>
      <charset val="1"/>
    </font>
    <font>
      <sz val="10"/>
      <name val="Arial"/>
      <family val="0"/>
      <charset val="1"/>
    </font>
    <font>
      <b val="true"/>
      <sz val="18"/>
      <color rgb="FFFFFFFF"/>
      <name val="Arial"/>
      <family val="0"/>
      <charset val="1"/>
    </font>
    <font>
      <b val="true"/>
      <sz val="8"/>
      <color rgb="FFFFFFFF"/>
      <name val="Arial"/>
      <family val="0"/>
      <charset val="1"/>
    </font>
    <font>
      <b val="true"/>
      <sz val="16"/>
      <color rgb="FF5C1A1B"/>
      <name val="Arial"/>
      <family val="0"/>
      <charset val="1"/>
    </font>
    <font>
      <b val="true"/>
      <sz val="11"/>
      <color rgb="FFFFFFFF"/>
      <name val="Arial"/>
      <family val="0"/>
      <charset val="1"/>
    </font>
    <font>
      <b val="true"/>
      <sz val="10"/>
      <color rgb="FF000000"/>
      <name val="Arial"/>
      <family val="0"/>
      <charset val="1"/>
    </font>
    <font>
      <b val="true"/>
      <sz val="10"/>
      <name val="Arial"/>
      <family val="0"/>
      <charset val="1"/>
    </font>
    <font>
      <i val="true"/>
      <sz val="10"/>
      <color rgb="FF595959"/>
      <name val="Arial"/>
      <family val="0"/>
      <charset val="1"/>
    </font>
    <font>
      <b val="true"/>
      <sz val="18"/>
      <color rgb="FF000000"/>
      <name val="Calibri"/>
      <family val="2"/>
    </font>
    <font>
      <sz val="10"/>
      <color rgb="FF000000"/>
      <name val="Calibri"/>
      <family val="2"/>
    </font>
    <font>
      <b val="true"/>
      <sz val="14"/>
      <color rgb="FF5C1A1B"/>
      <name val="Arial"/>
      <family val="0"/>
      <charset val="1"/>
    </font>
    <font>
      <sz val="10"/>
      <color rgb="FF0000FF"/>
      <name val="Arial"/>
      <family val="0"/>
      <charset val="1"/>
    </font>
  </fonts>
  <fills count="5">
    <fill>
      <patternFill patternType="none"/>
    </fill>
    <fill>
      <patternFill patternType="gray125"/>
    </fill>
    <fill>
      <patternFill patternType="solid">
        <fgColor rgb="FF5C1A1B"/>
        <bgColor rgb="FF800000"/>
      </patternFill>
    </fill>
    <fill>
      <patternFill patternType="solid">
        <fgColor rgb="FFF6EFE2"/>
        <bgColor rgb="FFFFFFFF"/>
      </patternFill>
    </fill>
    <fill>
      <patternFill patternType="solid">
        <fgColor rgb="FFC9A66B"/>
        <bgColor rgb="FFF4B6B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3" borderId="0" xfId="0" applyFont="true" applyBorder="true" applyAlignment="true" applyProtection="false">
      <alignment horizontal="general" vertical="bottom" textRotation="0" wrapText="false" indent="1"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1" shrinkToFit="false"/>
      <protection locked="true" hidden="false"/>
    </xf>
    <xf numFmtId="164" fontId="8" fillId="2" borderId="0" xfId="0" applyFont="true" applyBorder="true" applyAlignment="true" applyProtection="false">
      <alignment horizontal="general" vertical="center" textRotation="0" wrapText="false" indent="1" shrinkToFit="false"/>
      <protection locked="true" hidden="false"/>
    </xf>
    <xf numFmtId="164" fontId="9" fillId="4" borderId="0" xfId="0" applyFont="true" applyBorder="true" applyAlignment="true" applyProtection="false">
      <alignment horizontal="center" vertical="center" textRotation="0" wrapText="false" indent="0" shrinkToFit="false"/>
      <protection locked="true" hidden="false"/>
    </xf>
    <xf numFmtId="165" fontId="10" fillId="3" borderId="0" xfId="0" applyFont="true" applyBorder="true" applyAlignment="true" applyProtection="false">
      <alignment horizontal="center" vertical="center" textRotation="0" wrapText="false" indent="0" shrinkToFit="false"/>
      <protection locked="true" hidden="false"/>
    </xf>
    <xf numFmtId="166" fontId="10" fillId="3" borderId="0" xfId="0" applyFont="true" applyBorder="true" applyAlignment="true" applyProtection="false">
      <alignment horizontal="center" vertical="center" textRotation="0" wrapText="false" indent="0" shrinkToFit="false"/>
      <protection locked="true" hidden="false"/>
    </xf>
    <xf numFmtId="164" fontId="11" fillId="2" borderId="0" xfId="0" applyFont="true" applyBorder="true" applyAlignment="true" applyProtection="false">
      <alignment horizontal="general" vertical="bottom" textRotation="0" wrapText="false" indent="1" shrinkToFit="false"/>
      <protection locked="true" hidden="false"/>
    </xf>
    <xf numFmtId="164" fontId="7" fillId="0" borderId="0" xfId="0" applyFont="true" applyBorder="true" applyAlignment="true" applyProtection="false">
      <alignment horizontal="general" vertical="center" textRotation="0" wrapText="true" indent="1"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13" fillId="3" borderId="1" xfId="0" applyFont="true" applyBorder="true" applyAlignment="false" applyProtection="false">
      <alignment horizontal="general" vertical="bottom" textRotation="0" wrapText="false" indent="0" shrinkToFit="false"/>
      <protection locked="true" hidden="false"/>
    </xf>
    <xf numFmtId="165" fontId="13" fillId="3" borderId="1" xfId="0" applyFont="true" applyBorder="true" applyAlignment="false" applyProtection="false">
      <alignment horizontal="general" vertical="bottom" textRotation="0" wrapText="false" indent="0" shrinkToFit="false"/>
      <protection locked="true" hidden="false"/>
    </xf>
    <xf numFmtId="166" fontId="13" fillId="3" borderId="1" xfId="0" applyFont="true" applyBorder="true" applyAlignment="false" applyProtection="false">
      <alignment horizontal="general" vertical="bottom" textRotation="0" wrapText="false" indent="0" shrinkToFit="false"/>
      <protection locked="true" hidden="false"/>
    </xf>
    <xf numFmtId="168" fontId="13" fillId="3" borderId="1" xfId="0" applyFont="true" applyBorder="true" applyAlignment="false" applyProtection="false">
      <alignment horizontal="general" vertical="bottom" textRotation="0" wrapText="false" indent="0" shrinkToFit="false"/>
      <protection locked="true" hidden="false"/>
    </xf>
    <xf numFmtId="169" fontId="13" fillId="3"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0" fontId="18"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66" fontId="18" fillId="0" borderId="0" xfId="0" applyFont="true" applyBorder="false" applyAlignment="false" applyProtection="false">
      <alignment horizontal="general" vertical="bottom" textRotation="0" wrapText="false" indent="0" shrinkToFit="false"/>
      <protection locked="true" hidden="false"/>
    </xf>
    <xf numFmtId="172" fontId="18"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73"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5C1A1B"/>
          <bgColor rgb="FF000000"/>
        </patternFill>
      </fill>
    </dxf>
    <dxf>
      <fill>
        <patternFill patternType="solid">
          <bgColor rgb="FF000000"/>
        </patternFill>
      </fill>
    </dxf>
    <dxf>
      <fill>
        <patternFill patternType="solid">
          <fgColor rgb="FFFFFFFF"/>
          <bgColor rgb="FF000000"/>
        </patternFill>
      </fill>
    </dxf>
    <dxf>
      <fill>
        <patternFill patternType="solid">
          <fgColor rgb="FFBDD7EE"/>
          <bgColor rgb="FF000000"/>
        </patternFill>
      </fill>
    </dxf>
    <dxf>
      <fill>
        <patternFill patternType="solid">
          <fgColor rgb="FFC6E0B4"/>
          <bgColor rgb="FF000000"/>
        </patternFill>
      </fill>
    </dxf>
    <dxf>
      <fill>
        <patternFill patternType="solid">
          <fgColor rgb="FFF4B6B6"/>
          <bgColor rgb="FF000000"/>
        </patternFill>
      </fill>
    </dxf>
    <dxf>
      <fill>
        <patternFill patternType="solid">
          <fgColor rgb="FFFFE699"/>
          <bgColor rgb="FF000000"/>
        </patternFill>
      </fill>
    </dxf>
    <dxf>
      <fill>
        <patternFill>
          <bgColor rgb="FFC6E0B4"/>
        </patternFill>
      </fill>
    </dxf>
    <dxf>
      <fill>
        <patternFill>
          <bgColor rgb="FFFFE699"/>
        </patternFill>
      </fill>
    </dxf>
    <dxf>
      <fill>
        <patternFill>
          <bgColor rgb="FFF4B6B6"/>
        </patternFill>
      </fill>
    </dxf>
    <dxf>
      <fill>
        <patternFill>
          <bgColor rgb="FFBDD7EE"/>
        </patternFill>
      </fill>
    </dxf>
  </dxfs>
  <colors>
    <indexedColors>
      <rgbColor rgb="FF000000"/>
      <rgbColor rgb="FFFFFFFF"/>
      <rgbColor rgb="FFFF0000"/>
      <rgbColor rgb="FF00FF00"/>
      <rgbColor rgb="FF0000FF"/>
      <rgbColor rgb="FFFFFF00"/>
      <rgbColor rgb="FFFF00FF"/>
      <rgbColor rgb="FF00FFFF"/>
      <rgbColor rgb="FF5C1A1B"/>
      <rgbColor rgb="FF008000"/>
      <rgbColor rgb="FF000080"/>
      <rgbColor rgb="FF7F6000"/>
      <rgbColor rgb="FF800080"/>
      <rgbColor rgb="FF008080"/>
      <rgbColor rgb="FFD9D9D9"/>
      <rgbColor rgb="FF878787"/>
      <rgbColor rgb="FF9999FF"/>
      <rgbColor rgb="FF993366"/>
      <rgbColor rgb="FFF6EFE2"/>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4B6B6"/>
      <rgbColor rgb="FF3366FF"/>
      <rgbColor rgb="FF33CCCC"/>
      <rgbColor rgb="FF99CC00"/>
      <rgbColor rgb="FFFFCC00"/>
      <rgbColor rgb="FFFF9900"/>
      <rgbColor rgb="FFFF6600"/>
      <rgbColor rgb="FF595959"/>
      <rgbColor rgb="FFC9A66B"/>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Spend vs revenue by month (KES)</a:t>
            </a:r>
          </a:p>
        </c:rich>
      </c:tx>
      <c:overlay val="0"/>
      <c:spPr>
        <a:noFill/>
        <a:ln w="0">
          <a:noFill/>
        </a:ln>
      </c:spPr>
    </c:title>
    <c:autoTitleDeleted val="0"/>
    <c:plotArea>
      <c:barChart>
        <c:barDir val="col"/>
        <c:grouping val="clustered"/>
        <c:varyColors val="0"/>
        <c:ser>
          <c:idx val="0"/>
          <c:order val="0"/>
          <c:tx>
            <c:strRef>
              <c:f>Dashboard!C17</c:f>
              <c:strCache>
                <c:ptCount val="1"/>
                <c:pt idx="0">
                  <c:v>Spend (KES)</c:v>
                </c:pt>
              </c:strCache>
            </c:strRef>
          </c:tx>
          <c:spPr>
            <a:solidFill>
              <a:srgbClr val="c9a66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Dashboard!$B$18:$B$20</c:f>
              <c:strCache>
                <c:ptCount val="3"/>
                <c:pt idx="0">
                  <c:v>Jul</c:v>
                </c:pt>
                <c:pt idx="1">
                  <c:v>Aug</c:v>
                </c:pt>
                <c:pt idx="2">
                  <c:v>Sep</c:v>
                </c:pt>
              </c:strCache>
            </c:strRef>
          </c:cat>
          <c:val>
            <c:numRef>
              <c:f>Dashboard!$C$18:$C$20</c:f>
              <c:numCache>
                <c:formatCode>#,##0</c:formatCode>
                <c:ptCount val="3"/>
                <c:pt idx="0">
                  <c:v>2347897</c:v>
                </c:pt>
                <c:pt idx="1">
                  <c:v>3399857</c:v>
                </c:pt>
                <c:pt idx="2">
                  <c:v>2333185</c:v>
                </c:pt>
              </c:numCache>
            </c:numRef>
          </c:val>
        </c:ser>
        <c:ser>
          <c:idx val="1"/>
          <c:order val="1"/>
          <c:tx>
            <c:strRef>
              <c:f>Dashboard!D17</c:f>
              <c:strCache>
                <c:ptCount val="1"/>
                <c:pt idx="0">
                  <c:v>Revenue (KES)</c:v>
                </c:pt>
              </c:strCache>
            </c:strRef>
          </c:tx>
          <c:spPr>
            <a:solidFill>
              <a:srgbClr val="5c1a1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Dashboard!$B$18:$B$20</c:f>
              <c:strCache>
                <c:ptCount val="3"/>
                <c:pt idx="0">
                  <c:v>Jul</c:v>
                </c:pt>
                <c:pt idx="1">
                  <c:v>Aug</c:v>
                </c:pt>
                <c:pt idx="2">
                  <c:v>Sep</c:v>
                </c:pt>
              </c:strCache>
            </c:strRef>
          </c:cat>
          <c:val>
            <c:numRef>
              <c:f>Dashboard!$D$18:$D$20</c:f>
              <c:numCache>
                <c:formatCode>#,##0</c:formatCode>
                <c:ptCount val="3"/>
                <c:pt idx="0">
                  <c:v>10459780</c:v>
                </c:pt>
                <c:pt idx="1">
                  <c:v>15948690</c:v>
                </c:pt>
                <c:pt idx="2">
                  <c:v>9357820</c:v>
                </c:pt>
              </c:numCache>
            </c:numRef>
          </c:val>
        </c:ser>
        <c:gapWidth val="150"/>
        <c:overlap val="0"/>
        <c:axId val="77082363"/>
        <c:axId val="90249257"/>
      </c:barChart>
      <c:catAx>
        <c:axId val="7708236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249257"/>
        <c:crosses val="autoZero"/>
        <c:auto val="1"/>
        <c:lblAlgn val="ctr"/>
        <c:lblOffset val="100"/>
        <c:noMultiLvlLbl val="0"/>
      </c:catAx>
      <c:valAx>
        <c:axId val="90249257"/>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08236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ROAS by channel</a:t>
            </a:r>
          </a:p>
        </c:rich>
      </c:tx>
      <c:overlay val="0"/>
      <c:spPr>
        <a:noFill/>
        <a:ln w="0">
          <a:noFill/>
        </a:ln>
      </c:spPr>
    </c:title>
    <c:autoTitleDeleted val="0"/>
    <c:plotArea>
      <c:barChart>
        <c:barDir val="bar"/>
        <c:grouping val="clustered"/>
        <c:varyColors val="0"/>
        <c:ser>
          <c:idx val="0"/>
          <c:order val="0"/>
          <c:tx>
            <c:strRef>
              <c:f>Dashboard!D33</c:f>
              <c:strCache>
                <c:ptCount val="1"/>
                <c:pt idx="0">
                  <c:v>ROAS</c:v>
                </c:pt>
              </c:strCache>
            </c:strRef>
          </c:tx>
          <c:spPr>
            <a:solidFill>
              <a:srgbClr val="5c1a1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Dashboard!$A$34:$A$39</c:f>
              <c:strCache>
                <c:ptCount val="6"/>
                <c:pt idx="0">
                  <c:v>Facebook &amp; Instagram Ads</c:v>
                </c:pt>
                <c:pt idx="1">
                  <c:v>Google Search Ads</c:v>
                </c:pt>
                <c:pt idx="2">
                  <c:v>TikTok Ads</c:v>
                </c:pt>
                <c:pt idx="3">
                  <c:v>Email</c:v>
                </c:pt>
                <c:pt idx="4">
                  <c:v>WhatsApp Broadcast</c:v>
                </c:pt>
                <c:pt idx="5">
                  <c:v>Influencer Partnerships</c:v>
                </c:pt>
              </c:strCache>
            </c:strRef>
          </c:cat>
          <c:val>
            <c:numRef>
              <c:f>Dashboard!$D$34:$D$39</c:f>
              <c:numCache>
                <c:formatCode>0.0</c:formatCode>
                <c:ptCount val="6"/>
                <c:pt idx="0">
                  <c:v>1.65827613111838</c:v>
                </c:pt>
                <c:pt idx="1">
                  <c:v>10.7294072865877</c:v>
                </c:pt>
                <c:pt idx="2">
                  <c:v>1.57484716631415</c:v>
                </c:pt>
                <c:pt idx="3">
                  <c:v>9.27600276930782</c:v>
                </c:pt>
                <c:pt idx="4">
                  <c:v>9.52099098209725</c:v>
                </c:pt>
                <c:pt idx="5">
                  <c:v>0.770494633239755</c:v>
                </c:pt>
              </c:numCache>
            </c:numRef>
          </c:val>
        </c:ser>
        <c:gapWidth val="150"/>
        <c:overlap val="0"/>
        <c:axId val="94768472"/>
        <c:axId val="15074852"/>
      </c:barChart>
      <c:catAx>
        <c:axId val="9476847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074852"/>
        <c:crosses val="autoZero"/>
        <c:auto val="1"/>
        <c:lblAlgn val="ctr"/>
        <c:lblOffset val="100"/>
        <c:noMultiLvlLbl val="0"/>
      </c:catAx>
      <c:valAx>
        <c:axId val="15074852"/>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76847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Share of spend vs share of revenue</a:t>
            </a:r>
          </a:p>
        </c:rich>
      </c:tx>
      <c:overlay val="0"/>
      <c:spPr>
        <a:noFill/>
        <a:ln w="0">
          <a:noFill/>
        </a:ln>
      </c:spPr>
    </c:title>
    <c:autoTitleDeleted val="0"/>
    <c:plotArea>
      <c:barChart>
        <c:barDir val="col"/>
        <c:grouping val="clustered"/>
        <c:varyColors val="0"/>
        <c:ser>
          <c:idx val="0"/>
          <c:order val="0"/>
          <c:tx>
            <c:strRef>
              <c:f>Dashboard!H33</c:f>
              <c:strCache>
                <c:ptCount val="1"/>
                <c:pt idx="0">
                  <c:v>% of Spend</c:v>
                </c:pt>
              </c:strCache>
            </c:strRef>
          </c:tx>
          <c:spPr>
            <a:solidFill>
              <a:srgbClr val="c9a66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Dashboard!$A$34:$A$39</c:f>
              <c:strCache>
                <c:ptCount val="6"/>
                <c:pt idx="0">
                  <c:v>Facebook &amp; Instagram Ads</c:v>
                </c:pt>
                <c:pt idx="1">
                  <c:v>Google Search Ads</c:v>
                </c:pt>
                <c:pt idx="2">
                  <c:v>TikTok Ads</c:v>
                </c:pt>
                <c:pt idx="3">
                  <c:v>Email</c:v>
                </c:pt>
                <c:pt idx="4">
                  <c:v>WhatsApp Broadcast</c:v>
                </c:pt>
                <c:pt idx="5">
                  <c:v>Influencer Partnerships</c:v>
                </c:pt>
              </c:strCache>
            </c:strRef>
          </c:cat>
          <c:val>
            <c:numRef>
              <c:f>Dashboard!$H$34:$H$39</c:f>
              <c:numCache>
                <c:formatCode>0.0%</c:formatCode>
                <c:ptCount val="6"/>
                <c:pt idx="0">
                  <c:v>0.250749448795493</c:v>
                </c:pt>
                <c:pt idx="1">
                  <c:v>0.213268903527177</c:v>
                </c:pt>
                <c:pt idx="2">
                  <c:v>0.200560355671538</c:v>
                </c:pt>
                <c:pt idx="3">
                  <c:v>0.0756079213071649</c:v>
                </c:pt>
                <c:pt idx="4">
                  <c:v>0.0576618633057371</c:v>
                </c:pt>
                <c:pt idx="5">
                  <c:v>0.202151507392891</c:v>
                </c:pt>
              </c:numCache>
            </c:numRef>
          </c:val>
        </c:ser>
        <c:ser>
          <c:idx val="1"/>
          <c:order val="1"/>
          <c:tx>
            <c:strRef>
              <c:f>Dashboard!I33</c:f>
              <c:strCache>
                <c:ptCount val="1"/>
                <c:pt idx="0">
                  <c:v>% of Revenue</c:v>
                </c:pt>
              </c:strCache>
            </c:strRef>
          </c:tx>
          <c:spPr>
            <a:solidFill>
              <a:srgbClr val="5c1a1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Dashboard!$A$34:$A$39</c:f>
              <c:strCache>
                <c:ptCount val="6"/>
                <c:pt idx="0">
                  <c:v>Facebook &amp; Instagram Ads</c:v>
                </c:pt>
                <c:pt idx="1">
                  <c:v>Google Search Ads</c:v>
                </c:pt>
                <c:pt idx="2">
                  <c:v>TikTok Ads</c:v>
                </c:pt>
                <c:pt idx="3">
                  <c:v>Email</c:v>
                </c:pt>
                <c:pt idx="4">
                  <c:v>WhatsApp Broadcast</c:v>
                </c:pt>
                <c:pt idx="5">
                  <c:v>Influencer Partnerships</c:v>
                </c:pt>
              </c:strCache>
            </c:strRef>
          </c:cat>
          <c:val>
            <c:numRef>
              <c:f>Dashboard!$I$34:$I$39</c:f>
              <c:numCache>
                <c:formatCode>0.0%</c:formatCode>
                <c:ptCount val="6"/>
                <c:pt idx="0">
                  <c:v>0.0939474013100045</c:v>
                </c:pt>
                <c:pt idx="1">
                  <c:v>0.517000784817212</c:v>
                </c:pt>
                <c:pt idx="2">
                  <c:v>0.0713627273055159</c:v>
                </c:pt>
                <c:pt idx="3">
                  <c:v>0.158458705110315</c:v>
                </c:pt>
                <c:pt idx="4">
                  <c:v>0.124039144121462</c:v>
                </c:pt>
                <c:pt idx="5">
                  <c:v>0.035191237335491</c:v>
                </c:pt>
              </c:numCache>
            </c:numRef>
          </c:val>
        </c:ser>
        <c:gapWidth val="150"/>
        <c:overlap val="0"/>
        <c:axId val="98091571"/>
        <c:axId val="97982986"/>
      </c:barChart>
      <c:catAx>
        <c:axId val="9809157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982986"/>
        <c:crosses val="autoZero"/>
        <c:auto val="1"/>
        <c:lblAlgn val="ctr"/>
        <c:lblOffset val="100"/>
        <c:noMultiLvlLbl val="0"/>
      </c:catAx>
      <c:valAx>
        <c:axId val="97982986"/>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09157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16</xdr:row>
      <xdr:rowOff>0</xdr:rowOff>
    </xdr:from>
    <xdr:to>
      <xdr:col>10</xdr:col>
      <xdr:colOff>176400</xdr:colOff>
      <xdr:row>28</xdr:row>
      <xdr:rowOff>89640</xdr:rowOff>
    </xdr:to>
    <xdr:graphicFrame>
      <xdr:nvGraphicFramePr>
        <xdr:cNvPr id="0" name="Chart 1"/>
        <xdr:cNvGraphicFramePr/>
      </xdr:nvGraphicFramePr>
      <xdr:xfrm>
        <a:off x="9586080" y="3981600"/>
        <a:ext cx="5039640" cy="2375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41</xdr:row>
      <xdr:rowOff>0</xdr:rowOff>
    </xdr:from>
    <xdr:to>
      <xdr:col>3</xdr:col>
      <xdr:colOff>762840</xdr:colOff>
      <xdr:row>53</xdr:row>
      <xdr:rowOff>89640</xdr:rowOff>
    </xdr:to>
    <xdr:graphicFrame>
      <xdr:nvGraphicFramePr>
        <xdr:cNvPr id="1" name="Chart 2"/>
        <xdr:cNvGraphicFramePr/>
      </xdr:nvGraphicFramePr>
      <xdr:xfrm>
        <a:off x="0" y="8934480"/>
        <a:ext cx="6119640" cy="2375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0</xdr:colOff>
      <xdr:row>41</xdr:row>
      <xdr:rowOff>0</xdr:rowOff>
    </xdr:from>
    <xdr:to>
      <xdr:col>8</xdr:col>
      <xdr:colOff>113400</xdr:colOff>
      <xdr:row>53</xdr:row>
      <xdr:rowOff>89640</xdr:rowOff>
    </xdr:to>
    <xdr:graphicFrame>
      <xdr:nvGraphicFramePr>
        <xdr:cNvPr id="2" name="Chart 3"/>
        <xdr:cNvGraphicFramePr/>
      </xdr:nvGraphicFramePr>
      <xdr:xfrm>
        <a:off x="6414120" y="8934480"/>
        <a:ext cx="5399640" cy="2375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5"/>
  </cols>
  <sheetData>
    <row r="1" customFormat="false" ht="33.75" hidden="false" customHeight="true" outlineLevel="0" collapsed="false">
      <c r="A1" s="1" t="s">
        <v>0</v>
      </c>
      <c r="B1" s="1"/>
    </row>
    <row r="2" customFormat="false" ht="15" hidden="false" customHeight="false" outlineLevel="0" collapsed="false">
      <c r="A2" s="2" t="s">
        <v>1</v>
      </c>
      <c r="B2" s="2"/>
    </row>
    <row r="4" customFormat="false" ht="15" hidden="false" customHeight="false" outlineLevel="0" collapsed="false">
      <c r="A4" s="3" t="s">
        <v>2</v>
      </c>
      <c r="B4" s="4"/>
    </row>
    <row r="5" customFormat="false" ht="31.5" hidden="false" customHeight="true" outlineLevel="0" collapsed="false">
      <c r="A5" s="5" t="s">
        <v>3</v>
      </c>
      <c r="B5" s="5"/>
    </row>
    <row r="7" customFormat="false" ht="15" hidden="false" customHeight="false" outlineLevel="0" collapsed="false">
      <c r="A7" s="3" t="s">
        <v>4</v>
      </c>
      <c r="B7" s="4"/>
    </row>
    <row r="8" customFormat="false" ht="18" hidden="false" customHeight="true" outlineLevel="0" collapsed="false">
      <c r="A8" s="5" t="s">
        <v>5</v>
      </c>
      <c r="B8" s="5"/>
    </row>
    <row r="9" customFormat="false" ht="18" hidden="false" customHeight="true" outlineLevel="0" collapsed="false">
      <c r="A9" s="5" t="s">
        <v>6</v>
      </c>
      <c r="B9" s="5"/>
    </row>
    <row r="10" customFormat="false" ht="18" hidden="false" customHeight="true" outlineLevel="0" collapsed="false">
      <c r="A10" s="5" t="s">
        <v>7</v>
      </c>
      <c r="B10" s="5"/>
    </row>
    <row r="11" customFormat="false" ht="18" hidden="false" customHeight="true" outlineLevel="0" collapsed="false">
      <c r="A11" s="5" t="s">
        <v>8</v>
      </c>
      <c r="B11" s="5"/>
    </row>
    <row r="12" customFormat="false" ht="18" hidden="false" customHeight="true" outlineLevel="0" collapsed="false">
      <c r="A12" s="5" t="s">
        <v>9</v>
      </c>
      <c r="B12" s="5"/>
    </row>
    <row r="14" customFormat="false" ht="15" hidden="false" customHeight="false" outlineLevel="0" collapsed="false">
      <c r="A14" s="3" t="s">
        <v>10</v>
      </c>
      <c r="B14" s="4"/>
    </row>
    <row r="15" customFormat="false" ht="18" hidden="false" customHeight="true" outlineLevel="0" collapsed="false">
      <c r="A15" s="5" t="s">
        <v>11</v>
      </c>
      <c r="B15" s="5"/>
    </row>
    <row r="16" customFormat="false" ht="31.5" hidden="false" customHeight="true" outlineLevel="0" collapsed="false">
      <c r="A16" s="5" t="s">
        <v>12</v>
      </c>
      <c r="B16" s="5"/>
    </row>
    <row r="17" customFormat="false" ht="18" hidden="false" customHeight="true" outlineLevel="0" collapsed="false">
      <c r="A17" s="5" t="s">
        <v>13</v>
      </c>
      <c r="B17" s="5"/>
    </row>
    <row r="18" customFormat="false" ht="31.5" hidden="false" customHeight="true" outlineLevel="0" collapsed="false">
      <c r="A18" s="5" t="s">
        <v>14</v>
      </c>
      <c r="B18" s="5"/>
    </row>
    <row r="20" customFormat="false" ht="15" hidden="false" customHeight="false" outlineLevel="0" collapsed="false">
      <c r="A20" s="3" t="s">
        <v>15</v>
      </c>
      <c r="B20" s="4"/>
    </row>
    <row r="21" customFormat="false" ht="18" hidden="false" customHeight="true" outlineLevel="0" collapsed="false">
      <c r="A21" s="5" t="s">
        <v>16</v>
      </c>
      <c r="B21" s="5"/>
    </row>
    <row r="22" customFormat="false" ht="31.5" hidden="false" customHeight="true" outlineLevel="0" collapsed="false">
      <c r="A22" s="5" t="s">
        <v>17</v>
      </c>
      <c r="B22" s="5"/>
    </row>
    <row r="23" customFormat="false" ht="31.5" hidden="false" customHeight="true" outlineLevel="0" collapsed="false">
      <c r="A23" s="5" t="s">
        <v>18</v>
      </c>
      <c r="B23" s="5"/>
    </row>
    <row r="25" customFormat="false" ht="15" hidden="false" customHeight="false" outlineLevel="0" collapsed="false">
      <c r="A25" s="3" t="s">
        <v>19</v>
      </c>
      <c r="B25" s="4"/>
    </row>
    <row r="26" customFormat="false" ht="18" hidden="false" customHeight="true" outlineLevel="0" collapsed="false">
      <c r="A26" s="5" t="s">
        <v>20</v>
      </c>
      <c r="B26" s="5"/>
    </row>
    <row r="27" customFormat="false" ht="31.5" hidden="false" customHeight="true" outlineLevel="0" collapsed="false">
      <c r="A27" s="5" t="s">
        <v>21</v>
      </c>
      <c r="B27" s="5"/>
    </row>
    <row r="28" customFormat="false" ht="18" hidden="false" customHeight="true" outlineLevel="0" collapsed="false">
      <c r="A28" s="5" t="s">
        <v>22</v>
      </c>
      <c r="B28" s="5"/>
    </row>
    <row r="30" customFormat="false" ht="15" hidden="false" customHeight="false" outlineLevel="0" collapsed="false">
      <c r="A30" s="3" t="s">
        <v>23</v>
      </c>
      <c r="B30" s="4"/>
    </row>
    <row r="31" customFormat="false" ht="18" hidden="false" customHeight="true" outlineLevel="0" collapsed="false">
      <c r="A31" s="5" t="s">
        <v>24</v>
      </c>
      <c r="B31" s="5"/>
    </row>
    <row r="32" customFormat="false" ht="18" hidden="false" customHeight="true" outlineLevel="0" collapsed="false">
      <c r="A32" s="5" t="s">
        <v>25</v>
      </c>
      <c r="B32" s="5"/>
    </row>
    <row r="33" customFormat="false" ht="18" hidden="false" customHeight="true" outlineLevel="0" collapsed="false">
      <c r="A33" s="5" t="s">
        <v>26</v>
      </c>
      <c r="B33" s="5"/>
    </row>
    <row r="34" customFormat="false" ht="18" hidden="false" customHeight="true" outlineLevel="0" collapsed="false">
      <c r="A34" s="5" t="s">
        <v>27</v>
      </c>
      <c r="B34" s="5"/>
    </row>
  </sheetData>
  <mergeCells count="22">
    <mergeCell ref="A1:B1"/>
    <mergeCell ref="A2:B2"/>
    <mergeCell ref="A5:B5"/>
    <mergeCell ref="A8:B8"/>
    <mergeCell ref="A9:B9"/>
    <mergeCell ref="A10:B10"/>
    <mergeCell ref="A11:B11"/>
    <mergeCell ref="A12:B12"/>
    <mergeCell ref="A15:B15"/>
    <mergeCell ref="A16:B16"/>
    <mergeCell ref="A17:B17"/>
    <mergeCell ref="A18:B18"/>
    <mergeCell ref="A21:B21"/>
    <mergeCell ref="A22:B22"/>
    <mergeCell ref="A23:B23"/>
    <mergeCell ref="A26:B26"/>
    <mergeCell ref="A27:B27"/>
    <mergeCell ref="A28:B28"/>
    <mergeCell ref="A31:B31"/>
    <mergeCell ref="A32:B32"/>
    <mergeCell ref="A33:B33"/>
    <mergeCell ref="A34:B34"/>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88"/>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8"/>
    <col collapsed="false" customWidth="true" hidden="false" outlineLevel="0" max="3" min="3" style="0" width="22"/>
    <col collapsed="false" customWidth="true" hidden="false" outlineLevel="0" max="7" min="4" style="0" width="15"/>
    <col collapsed="false" customWidth="true" hidden="false" outlineLevel="0" max="8" min="8" style="0" width="30"/>
    <col collapsed="false" customWidth="true" hidden="false" outlineLevel="0" max="9" min="9" style="0" width="24"/>
    <col collapsed="false" customWidth="true" hidden="false" outlineLevel="0" max="12" min="10" style="0" width="15"/>
  </cols>
  <sheetData>
    <row r="1" customFormat="false" ht="36" hidden="false" customHeight="true" outlineLevel="0" collapsed="false">
      <c r="A1" s="6" t="s">
        <v>28</v>
      </c>
      <c r="B1" s="6"/>
      <c r="C1" s="6"/>
      <c r="D1" s="6"/>
      <c r="E1" s="6"/>
      <c r="F1" s="6"/>
      <c r="G1" s="6"/>
      <c r="H1" s="6"/>
      <c r="I1" s="6"/>
      <c r="J1" s="6"/>
      <c r="K1" s="6"/>
      <c r="L1" s="6"/>
    </row>
    <row r="2" customFormat="false" ht="15" hidden="false" customHeight="false" outlineLevel="0" collapsed="false">
      <c r="A2" s="2" t="str">
        <f aca="false">"Fictional Kenyan online home-goods retailer  |  Synthetic data  |  "&amp;TEXT(Assumptions!B5,"d mmm yyyy")&amp;" to "&amp;TEXT(Assumptions!B4,"d mmm yyyy")&amp;"  |  Prepared by BZME Insights"</f>
        <v>Fictional Kenyan online home-goods retailer  |  Synthetic data  |  1 Jul 2026 to 30 Sep 2026  |  Prepared by BZME Insights</v>
      </c>
      <c r="B2" s="2"/>
      <c r="C2" s="2"/>
      <c r="D2" s="2"/>
      <c r="E2" s="2"/>
      <c r="F2" s="2"/>
      <c r="G2" s="2"/>
      <c r="H2" s="2"/>
      <c r="I2" s="2"/>
      <c r="J2" s="2"/>
      <c r="K2" s="2"/>
      <c r="L2" s="2"/>
    </row>
    <row r="4" customFormat="false" ht="19.5" hidden="false" customHeight="true" outlineLevel="0" collapsed="false">
      <c r="A4" s="7" t="s">
        <v>29</v>
      </c>
      <c r="B4" s="7"/>
      <c r="C4" s="7" t="s">
        <v>30</v>
      </c>
      <c r="D4" s="7"/>
      <c r="E4" s="7" t="s">
        <v>31</v>
      </c>
      <c r="F4" s="7"/>
      <c r="G4" s="7" t="s">
        <v>32</v>
      </c>
      <c r="H4" s="7"/>
      <c r="I4" s="7" t="s">
        <v>33</v>
      </c>
      <c r="J4" s="7"/>
      <c r="K4" s="7" t="s">
        <v>34</v>
      </c>
      <c r="L4" s="7"/>
    </row>
    <row r="5" customFormat="false" ht="31.5" hidden="false" customHeight="true" outlineLevel="0" collapsed="false">
      <c r="A5" s="8" t="n">
        <f aca="false">SUM(Daily_Performance!$H$2:$H$1311)</f>
        <v>8080939</v>
      </c>
      <c r="B5" s="8"/>
      <c r="C5" s="8" t="n">
        <f aca="false">SUM(Daily_Performance!$G$2:$G$1311)</f>
        <v>35766290</v>
      </c>
      <c r="D5" s="8"/>
      <c r="E5" s="9" t="n">
        <f aca="false">C5/A5</f>
        <v>4.42600668065927</v>
      </c>
      <c r="F5" s="9"/>
      <c r="G5" s="8" t="n">
        <f aca="false">SUM(Daily_Performance!$F$2:$F$1311)</f>
        <v>10681</v>
      </c>
      <c r="H5" s="8"/>
      <c r="I5" s="8" t="n">
        <f aca="false">IFERROR(A5/G5,0)</f>
        <v>756.571388446775</v>
      </c>
      <c r="J5" s="8"/>
      <c r="K5" s="8" t="n">
        <f aca="false">SUM(Daily_Performance!$E$2:$E$1311)</f>
        <v>21834</v>
      </c>
      <c r="L5" s="8"/>
    </row>
    <row r="7" customFormat="false" ht="15" hidden="false" customHeight="false" outlineLevel="0" collapsed="false">
      <c r="A7" s="10" t="s">
        <v>35</v>
      </c>
      <c r="B7" s="10"/>
      <c r="C7" s="10"/>
      <c r="D7" s="10"/>
      <c r="E7" s="10"/>
      <c r="F7" s="10"/>
      <c r="G7" s="10"/>
      <c r="H7" s="10"/>
      <c r="I7" s="10"/>
      <c r="J7" s="10"/>
      <c r="K7" s="10"/>
      <c r="L7" s="10"/>
    </row>
    <row r="8" customFormat="false" ht="19.5" hidden="false" customHeight="true" outlineLevel="0" collapsed="false">
      <c r="A8" s="11" t="str">
        <f aca="false">"1. KES "&amp;TEXT(A5/1000000,"#,##0.0")&amp;"M of ad spend generated KES "&amp;TEXT(C5/1000000,"#,##0.0")&amp;"M in revenue (ROAS "&amp;TEXT(E5,"0.0")&amp;") from "&amp;TEXT(G5,"#,##0")&amp;" orders at KES "&amp;TEXT(I5,"#,##0")&amp;" per order."</f>
        <v>1. KES 8.1M of ad spend generated KES 35.8M in revenue (ROAS 4.4) from 10,681 orders at KES 757 per order.</v>
      </c>
      <c r="B8" s="11"/>
      <c r="C8" s="11"/>
      <c r="D8" s="11"/>
      <c r="E8" s="11"/>
      <c r="F8" s="11"/>
      <c r="G8" s="11"/>
      <c r="H8" s="11"/>
      <c r="I8" s="11"/>
      <c r="J8" s="11"/>
      <c r="K8" s="11"/>
      <c r="L8" s="11"/>
    </row>
    <row r="9" customFormat="false" ht="19.5" hidden="false" customHeight="true" outlineLevel="0" collapsed="false">
      <c r="A9" s="11" t="str">
        <f aca="false">"2. "&amp;INDEX(A34:A39,MATCH(MAX(D34:D39),D34:D39,0))&amp;" delivers the best return (ROAS "&amp;TEXT(MAX(D34:D39),"0.0")&amp;"); "&amp;INDEX(A34:A39,MATCH(MIN(D34:D39),D34:D39,0))&amp;" the weakest ("&amp;TEXT(MIN(D34:D39),"0.0")&amp;")."</f>
        <v>2. Google Search Ads delivers the best return (ROAS 10.7); Influencer Partnerships the weakest (0.8).</v>
      </c>
      <c r="B9" s="11"/>
      <c r="C9" s="11"/>
      <c r="D9" s="11"/>
      <c r="E9" s="11"/>
      <c r="F9" s="11"/>
      <c r="G9" s="11"/>
      <c r="H9" s="11"/>
      <c r="I9" s="11"/>
      <c r="J9" s="11"/>
      <c r="K9" s="11"/>
      <c r="L9" s="11"/>
    </row>
    <row r="10" customFormat="false" ht="19.5" hidden="false" customHeight="true" outlineLevel="0" collapsed="false">
      <c r="A10" s="11" t="str">
        <f aca="false">"3. "&amp;B62&amp;" campaigns are flagged Pause / Rework. They absorb "&amp;TEXT(F62,"0%")&amp;" of spend at ROAS "&amp;TEXT(E62,"0.0")&amp;", against "&amp;TEXT(E64,"0.0")&amp;" overall."</f>
        <v>3. 8 campaigns are flagged Pause / Rework. They absorb 32% of spend at ROAS 0.8, against 4.4 overall.</v>
      </c>
      <c r="B10" s="11"/>
      <c r="C10" s="11"/>
      <c r="D10" s="11"/>
      <c r="E10" s="11"/>
      <c r="F10" s="11"/>
      <c r="G10" s="11"/>
      <c r="H10" s="11"/>
      <c r="I10" s="11"/>
      <c r="J10" s="11"/>
      <c r="K10" s="11"/>
      <c r="L10" s="11"/>
    </row>
    <row r="11" customFormat="false" ht="19.5" hidden="false" customHeight="true" outlineLevel="0" collapsed="false">
      <c r="A11" s="11" t="str">
        <f aca="false">"4. "&amp;INDEX(A34:A39,MATCH(MAX(H34:H39),H34:H39,0))&amp;" takes the largest share of budget ("&amp;TEXT(MAX(H34:H39),"0%")&amp;") but delivers "&amp;TEXT(INDEX(I34:I39,MATCH(MAX(H34:H39),H34:H39,0)),"0%")&amp;" of revenue."</f>
        <v>4. Facebook &amp; Instagram Ads takes the largest share of budget (25%) but delivers 9% of revenue.</v>
      </c>
      <c r="B11" s="11"/>
      <c r="C11" s="11"/>
      <c r="D11" s="11"/>
      <c r="E11" s="11"/>
      <c r="F11" s="11"/>
      <c r="G11" s="11"/>
      <c r="H11" s="11"/>
      <c r="I11" s="11"/>
      <c r="J11" s="11"/>
      <c r="K11" s="11"/>
      <c r="L11" s="11"/>
    </row>
    <row r="12" customFormat="false" ht="19.5" hidden="false" customHeight="true" outlineLevel="0" collapsed="false">
      <c r="A12" s="11" t="str">
        <f aca="false">"5. Moving Pause / Rework budget into Scale campaigns could add roughly KES "&amp;TEXT(D87/1000000,"#,##0.0")&amp;"M of revenue, assuming moved budget earns "&amp;TEXT(Assumptions!B9,"0%")&amp;" of the proven ROAS."</f>
        <v>5. Moving Pause / Rework budget into Scale campaigns could add roughly KES 5.5M of revenue, assuming moved budget earns 40% of the proven ROAS.</v>
      </c>
      <c r="B12" s="11"/>
      <c r="C12" s="11"/>
      <c r="D12" s="11"/>
      <c r="E12" s="11"/>
      <c r="F12" s="11"/>
      <c r="G12" s="11"/>
      <c r="H12" s="11"/>
      <c r="I12" s="11"/>
      <c r="J12" s="11"/>
      <c r="K12" s="11"/>
      <c r="L12" s="11"/>
    </row>
    <row r="13" customFormat="false" ht="19.5" hidden="false" customHeight="true" outlineLevel="0" collapsed="false">
      <c r="A13" s="11" t="str">
        <f aca="false">"6. "&amp;COUNTIF(Campaigns!$T$2:$T$31,"&gt;1")&amp;" campaigns spent over their budget; track pacing weekly to avoid overspend."</f>
        <v>6. 8 campaigns spent over their budget; track pacing weekly to avoid overspend.</v>
      </c>
      <c r="B13" s="11"/>
      <c r="C13" s="11"/>
      <c r="D13" s="11"/>
      <c r="E13" s="11"/>
      <c r="F13" s="11"/>
      <c r="G13" s="11"/>
      <c r="H13" s="11"/>
      <c r="I13" s="11"/>
      <c r="J13" s="11"/>
      <c r="K13" s="11"/>
      <c r="L13" s="11"/>
    </row>
    <row r="14" customFormat="false" ht="19.5" hidden="false" customHeight="true" outlineLevel="0" collapsed="false">
      <c r="A14" s="11" t="str">
        <f aca="false">"7. Lead-generation campaigns produced "&amp;TEXT(SUMIFS(Campaigns!$K$2:$K$31,Campaigns!$D$2:$D$31,"Leads"),"#,##0")&amp;" leads at KES "&amp;TEXT(IFERROR(SUMIFS(Campaigns!$H$2:$H$31,Campaigns!$D$2:$D$31,"Leads")/SUMIFS(Campaigns!$K$2:$K$31,Campaigns!$D$2:$D$31,"Leads"),0),"#,##0")&amp;" per lead."</f>
        <v>7. Lead-generation campaigns produced 10,850 leads at KES 184 per lead.</v>
      </c>
      <c r="B14" s="11"/>
      <c r="C14" s="11"/>
      <c r="D14" s="11"/>
      <c r="E14" s="11"/>
      <c r="F14" s="11"/>
      <c r="G14" s="11"/>
      <c r="H14" s="11"/>
      <c r="I14" s="11"/>
      <c r="J14" s="11"/>
      <c r="K14" s="11"/>
      <c r="L14" s="11"/>
    </row>
    <row r="16" customFormat="false" ht="15" hidden="false" customHeight="false" outlineLevel="0" collapsed="false">
      <c r="A16" s="10" t="s">
        <v>36</v>
      </c>
      <c r="B16" s="10"/>
      <c r="C16" s="10"/>
      <c r="D16" s="10"/>
      <c r="E16" s="10"/>
      <c r="F16" s="10"/>
      <c r="G16" s="10"/>
      <c r="H16" s="10"/>
      <c r="I16" s="10"/>
      <c r="J16" s="10"/>
      <c r="K16" s="10"/>
      <c r="L16" s="10"/>
    </row>
    <row r="17" customFormat="false" ht="15" hidden="false" customHeight="false" outlineLevel="0" collapsed="false">
      <c r="A17" s="12" t="s">
        <v>37</v>
      </c>
      <c r="B17" s="12" t="s">
        <v>38</v>
      </c>
      <c r="C17" s="12" t="s">
        <v>39</v>
      </c>
      <c r="D17" s="12" t="s">
        <v>40</v>
      </c>
      <c r="E17" s="12" t="s">
        <v>41</v>
      </c>
      <c r="F17" s="12" t="s">
        <v>42</v>
      </c>
    </row>
    <row r="18" customFormat="false" ht="15" hidden="false" customHeight="false" outlineLevel="0" collapsed="false">
      <c r="A18" s="13" t="n">
        <f aca="false">DATE(YEAR(Assumptions!$B$5),MONTH(Assumptions!$B$5),1)</f>
        <v>46204</v>
      </c>
      <c r="B18" s="14" t="str">
        <f aca="false">TEXT(A18,"mmm")</f>
        <v>Jul</v>
      </c>
      <c r="C18" s="15" t="n">
        <f aca="false">SUMIFS(Daily_Performance!$H$2:$H$1311,Daily_Performance!$J$2:$J$1311,A18)</f>
        <v>2347897</v>
      </c>
      <c r="D18" s="15" t="n">
        <f aca="false">SUMIFS(Daily_Performance!$G$2:$G$1311,Daily_Performance!$J$2:$J$1311,A18)</f>
        <v>10459780</v>
      </c>
      <c r="E18" s="16" t="n">
        <f aca="false">IFERROR(D18/C18,0)</f>
        <v>4.4549569252825</v>
      </c>
      <c r="F18" s="15" t="n">
        <f aca="false">SUMIFS(Daily_Performance!$F$2:$F$1311,Daily_Performance!$J$2:$J$1311,A18)</f>
        <v>3106</v>
      </c>
    </row>
    <row r="19" customFormat="false" ht="15" hidden="false" customHeight="false" outlineLevel="0" collapsed="false">
      <c r="A19" s="13" t="n">
        <f aca="false">EDATE(A18,1)</f>
        <v>46235</v>
      </c>
      <c r="B19" s="14" t="str">
        <f aca="false">TEXT(A19,"mmm")</f>
        <v>Aug</v>
      </c>
      <c r="C19" s="15" t="n">
        <f aca="false">SUMIFS(Daily_Performance!$H$2:$H$1311,Daily_Performance!$J$2:$J$1311,A19)</f>
        <v>3399857</v>
      </c>
      <c r="D19" s="15" t="n">
        <f aca="false">SUMIFS(Daily_Performance!$G$2:$G$1311,Daily_Performance!$J$2:$J$1311,A19)</f>
        <v>15948690</v>
      </c>
      <c r="E19" s="16" t="n">
        <f aca="false">IFERROR(D19/C19,0)</f>
        <v>4.69098847392699</v>
      </c>
      <c r="F19" s="15" t="n">
        <f aca="false">SUMIFS(Daily_Performance!$F$2:$F$1311,Daily_Performance!$J$2:$J$1311,A19)</f>
        <v>4862</v>
      </c>
    </row>
    <row r="20" customFormat="false" ht="15" hidden="false" customHeight="false" outlineLevel="0" collapsed="false">
      <c r="A20" s="13" t="n">
        <f aca="false">EDATE(A19,1)</f>
        <v>46266</v>
      </c>
      <c r="B20" s="14" t="str">
        <f aca="false">TEXT(A20,"mmm")</f>
        <v>Sep</v>
      </c>
      <c r="C20" s="15" t="n">
        <f aca="false">SUMIFS(Daily_Performance!$H$2:$H$1311,Daily_Performance!$J$2:$J$1311,A20)</f>
        <v>2333185</v>
      </c>
      <c r="D20" s="15" t="n">
        <f aca="false">SUMIFS(Daily_Performance!$G$2:$G$1311,Daily_Performance!$J$2:$J$1311,A20)</f>
        <v>9357820</v>
      </c>
      <c r="E20" s="16" t="n">
        <f aca="false">IFERROR(D20/C20,0)</f>
        <v>4.01074925477405</v>
      </c>
      <c r="F20" s="15" t="n">
        <f aca="false">SUMIFS(Daily_Performance!$F$2:$F$1311,Daily_Performance!$J$2:$J$1311,A20)</f>
        <v>2713</v>
      </c>
    </row>
    <row r="32" customFormat="false" ht="15" hidden="false" customHeight="false" outlineLevel="0" collapsed="false">
      <c r="A32" s="10" t="s">
        <v>43</v>
      </c>
      <c r="B32" s="10"/>
      <c r="C32" s="10"/>
      <c r="D32" s="10"/>
      <c r="E32" s="10"/>
      <c r="F32" s="10"/>
      <c r="G32" s="10"/>
      <c r="H32" s="10"/>
      <c r="I32" s="10"/>
      <c r="J32" s="10"/>
      <c r="K32" s="10"/>
      <c r="L32" s="10"/>
    </row>
    <row r="33" customFormat="false" ht="30" hidden="false" customHeight="true" outlineLevel="0" collapsed="false">
      <c r="A33" s="12" t="s">
        <v>44</v>
      </c>
      <c r="B33" s="12" t="s">
        <v>39</v>
      </c>
      <c r="C33" s="12" t="s">
        <v>40</v>
      </c>
      <c r="D33" s="12" t="s">
        <v>41</v>
      </c>
      <c r="E33" s="12" t="s">
        <v>45</v>
      </c>
      <c r="F33" s="12" t="s">
        <v>46</v>
      </c>
      <c r="G33" s="12" t="s">
        <v>47</v>
      </c>
      <c r="H33" s="12" t="s">
        <v>48</v>
      </c>
      <c r="I33" s="12" t="s">
        <v>49</v>
      </c>
    </row>
    <row r="34" customFormat="false" ht="15" hidden="false" customHeight="false" outlineLevel="0" collapsed="false">
      <c r="A34" s="17" t="s">
        <v>50</v>
      </c>
      <c r="B34" s="15" t="n">
        <f aca="false">SUMIFS(Daily_Performance!$H$2:$H$1311,Daily_Performance!$I$2:$I$1311,A34)</f>
        <v>2026291</v>
      </c>
      <c r="C34" s="15" t="n">
        <f aca="false">SUMIFS(Daily_Performance!$G$2:$G$1311,Daily_Performance!$I$2:$I$1311,A34)</f>
        <v>3360150</v>
      </c>
      <c r="D34" s="16" t="n">
        <f aca="false">IFERROR(C34/B34,0)</f>
        <v>1.65827613111838</v>
      </c>
      <c r="E34" s="15" t="n">
        <f aca="false">IFERROR(B34/SUMIFS(Daily_Performance!$F$2:$F$1311,Daily_Performance!$I$2:$I$1311,A34),0)</f>
        <v>1974.94249512671</v>
      </c>
      <c r="F34" s="18" t="n">
        <f aca="false">IFERROR(SUMIFS(Daily_Performance!$D$2:$D$1311,Daily_Performance!$I$2:$I$1311,A34)/SUMIFS(Daily_Performance!$C$2:$C$1311,Daily_Performance!$I$2:$I$1311,A34),0)</f>
        <v>0.0132669695642789</v>
      </c>
      <c r="G34" s="18" t="n">
        <f aca="false">IFERROR(SUMIFS(Daily_Performance!$F$2:$F$1311,Daily_Performance!$I$2:$I$1311,A34)/SUMIFS(Daily_Performance!$D$2:$D$1311,Daily_Performance!$I$2:$I$1311,A34),0)</f>
        <v>0.00951753694307103</v>
      </c>
      <c r="H34" s="19" t="n">
        <f aca="false">IFERROR(B34/B$40,0)</f>
        <v>0.250749448795493</v>
      </c>
      <c r="I34" s="19" t="n">
        <f aca="false">IFERROR(C34/C$40,0)</f>
        <v>0.0939474013100045</v>
      </c>
    </row>
    <row r="35" customFormat="false" ht="15" hidden="false" customHeight="false" outlineLevel="0" collapsed="false">
      <c r="A35" s="17" t="s">
        <v>51</v>
      </c>
      <c r="B35" s="15" t="n">
        <f aca="false">SUMIFS(Daily_Performance!$H$2:$H$1311,Daily_Performance!$I$2:$I$1311,A35)</f>
        <v>1723413</v>
      </c>
      <c r="C35" s="15" t="n">
        <f aca="false">SUMIFS(Daily_Performance!$G$2:$G$1311,Daily_Performance!$I$2:$I$1311,A35)</f>
        <v>18491200</v>
      </c>
      <c r="D35" s="16" t="n">
        <f aca="false">IFERROR(C35/B35,0)</f>
        <v>10.7294072865877</v>
      </c>
      <c r="E35" s="15" t="n">
        <f aca="false">IFERROR(B35/SUMIFS(Daily_Performance!$F$2:$F$1311,Daily_Performance!$I$2:$I$1311,A35),0)</f>
        <v>345.92794058611</v>
      </c>
      <c r="F35" s="18" t="n">
        <f aca="false">IFERROR(SUMIFS(Daily_Performance!$D$2:$D$1311,Daily_Performance!$I$2:$I$1311,A35)/SUMIFS(Daily_Performance!$C$2:$C$1311,Daily_Performance!$I$2:$I$1311,A35),0)</f>
        <v>0.0503045030887133</v>
      </c>
      <c r="G35" s="18" t="n">
        <f aca="false">IFERROR(SUMIFS(Daily_Performance!$F$2:$F$1311,Daily_Performance!$I$2:$I$1311,A35)/SUMIFS(Daily_Performance!$D$2:$D$1311,Daily_Performance!$I$2:$I$1311,A35),0)</f>
        <v>0.051502057187752</v>
      </c>
      <c r="H35" s="19" t="n">
        <f aca="false">IFERROR(B35/B$40,0)</f>
        <v>0.213268903527177</v>
      </c>
      <c r="I35" s="19" t="n">
        <f aca="false">IFERROR(C35/C$40,0)</f>
        <v>0.517000784817212</v>
      </c>
    </row>
    <row r="36" customFormat="false" ht="15" hidden="false" customHeight="false" outlineLevel="0" collapsed="false">
      <c r="A36" s="17" t="s">
        <v>52</v>
      </c>
      <c r="B36" s="15" t="n">
        <f aca="false">SUMIFS(Daily_Performance!$H$2:$H$1311,Daily_Performance!$I$2:$I$1311,A36)</f>
        <v>1620716</v>
      </c>
      <c r="C36" s="15" t="n">
        <f aca="false">SUMIFS(Daily_Performance!$G$2:$G$1311,Daily_Performance!$I$2:$I$1311,A36)</f>
        <v>2552380</v>
      </c>
      <c r="D36" s="16" t="n">
        <f aca="false">IFERROR(C36/B36,0)</f>
        <v>1.57484716631415</v>
      </c>
      <c r="E36" s="15" t="n">
        <f aca="false">IFERROR(B36/SUMIFS(Daily_Performance!$F$2:$F$1311,Daily_Performance!$I$2:$I$1311,A36),0)</f>
        <v>1709.61603375527</v>
      </c>
      <c r="F36" s="18" t="n">
        <f aca="false">IFERROR(SUMIFS(Daily_Performance!$D$2:$D$1311,Daily_Performance!$I$2:$I$1311,A36)/SUMIFS(Daily_Performance!$C$2:$C$1311,Daily_Performance!$I$2:$I$1311,A36),0)</f>
        <v>0.00841993153694831</v>
      </c>
      <c r="G36" s="18" t="n">
        <f aca="false">IFERROR(SUMIFS(Daily_Performance!$F$2:$F$1311,Daily_Performance!$I$2:$I$1311,A36)/SUMIFS(Daily_Performance!$D$2:$D$1311,Daily_Performance!$I$2:$I$1311,A36),0)</f>
        <v>0.0124753257007501</v>
      </c>
      <c r="H36" s="19" t="n">
        <f aca="false">IFERROR(B36/B$40,0)</f>
        <v>0.200560355671538</v>
      </c>
      <c r="I36" s="19" t="n">
        <f aca="false">IFERROR(C36/C$40,0)</f>
        <v>0.0713627273055159</v>
      </c>
    </row>
    <row r="37" customFormat="false" ht="15" hidden="false" customHeight="false" outlineLevel="0" collapsed="false">
      <c r="A37" s="17" t="s">
        <v>53</v>
      </c>
      <c r="B37" s="15" t="n">
        <f aca="false">SUMIFS(Daily_Performance!$H$2:$H$1311,Daily_Performance!$I$2:$I$1311,A37)</f>
        <v>610983</v>
      </c>
      <c r="C37" s="15" t="n">
        <f aca="false">SUMIFS(Daily_Performance!$G$2:$G$1311,Daily_Performance!$I$2:$I$1311,A37)</f>
        <v>5667480</v>
      </c>
      <c r="D37" s="16" t="n">
        <f aca="false">IFERROR(C37/B37,0)</f>
        <v>9.27600276930782</v>
      </c>
      <c r="E37" s="15" t="n">
        <f aca="false">IFERROR(B37/SUMIFS(Daily_Performance!$F$2:$F$1311,Daily_Performance!$I$2:$I$1311,A37),0)</f>
        <v>332.417301414581</v>
      </c>
      <c r="F37" s="18" t="n">
        <f aca="false">IFERROR(SUMIFS(Daily_Performance!$D$2:$D$1311,Daily_Performance!$I$2:$I$1311,A37)/SUMIFS(Daily_Performance!$C$2:$C$1311,Daily_Performance!$I$2:$I$1311,A37),0)</f>
        <v>0.0291586190626433</v>
      </c>
      <c r="G37" s="18" t="n">
        <f aca="false">IFERROR(SUMIFS(Daily_Performance!$F$2:$F$1311,Daily_Performance!$I$2:$I$1311,A37)/SUMIFS(Daily_Performance!$D$2:$D$1311,Daily_Performance!$I$2:$I$1311,A37),0)</f>
        <v>0.0360944189152036</v>
      </c>
      <c r="H37" s="19" t="n">
        <f aca="false">IFERROR(B37/B$40,0)</f>
        <v>0.0756079213071649</v>
      </c>
      <c r="I37" s="19" t="n">
        <f aca="false">IFERROR(C37/C$40,0)</f>
        <v>0.158458705110315</v>
      </c>
    </row>
    <row r="38" customFormat="false" ht="15" hidden="false" customHeight="false" outlineLevel="0" collapsed="false">
      <c r="A38" s="17" t="s">
        <v>54</v>
      </c>
      <c r="B38" s="15" t="n">
        <f aca="false">SUMIFS(Daily_Performance!$H$2:$H$1311,Daily_Performance!$I$2:$I$1311,A38)</f>
        <v>465962</v>
      </c>
      <c r="C38" s="15" t="n">
        <f aca="false">SUMIFS(Daily_Performance!$G$2:$G$1311,Daily_Performance!$I$2:$I$1311,A38)</f>
        <v>4436420</v>
      </c>
      <c r="D38" s="16" t="n">
        <f aca="false">IFERROR(C38/B38,0)</f>
        <v>9.52099098209725</v>
      </c>
      <c r="E38" s="15" t="n">
        <f aca="false">IFERROR(B38/SUMIFS(Daily_Performance!$F$2:$F$1311,Daily_Performance!$I$2:$I$1311,A38),0)</f>
        <v>304.351404310908</v>
      </c>
      <c r="F38" s="18" t="n">
        <f aca="false">IFERROR(SUMIFS(Daily_Performance!$D$2:$D$1311,Daily_Performance!$I$2:$I$1311,A38)/SUMIFS(Daily_Performance!$C$2:$C$1311,Daily_Performance!$I$2:$I$1311,A38),0)</f>
        <v>0.0645351407101812</v>
      </c>
      <c r="G38" s="18" t="n">
        <f aca="false">IFERROR(SUMIFS(Daily_Performance!$F$2:$F$1311,Daily_Performance!$I$2:$I$1311,A38)/SUMIFS(Daily_Performance!$D$2:$D$1311,Daily_Performance!$I$2:$I$1311,A38),0)</f>
        <v>0.0713353834684559</v>
      </c>
      <c r="H38" s="19" t="n">
        <f aca="false">IFERROR(B38/B$40,0)</f>
        <v>0.0576618633057371</v>
      </c>
      <c r="I38" s="19" t="n">
        <f aca="false">IFERROR(C38/C$40,0)</f>
        <v>0.124039144121462</v>
      </c>
    </row>
    <row r="39" customFormat="false" ht="15" hidden="false" customHeight="false" outlineLevel="0" collapsed="false">
      <c r="A39" s="17" t="s">
        <v>55</v>
      </c>
      <c r="B39" s="15" t="n">
        <f aca="false">SUMIFS(Daily_Performance!$H$2:$H$1311,Daily_Performance!$I$2:$I$1311,A39)</f>
        <v>1633574</v>
      </c>
      <c r="C39" s="15" t="n">
        <f aca="false">SUMIFS(Daily_Performance!$G$2:$G$1311,Daily_Performance!$I$2:$I$1311,A39)</f>
        <v>1258660</v>
      </c>
      <c r="D39" s="16" t="n">
        <f aca="false">IFERROR(C39/B39,0)</f>
        <v>0.770494633239755</v>
      </c>
      <c r="E39" s="15" t="n">
        <f aca="false">IFERROR(B39/SUMIFS(Daily_Performance!$F$2:$F$1311,Daily_Performance!$I$2:$I$1311,A39),0)</f>
        <v>4588.69101123596</v>
      </c>
      <c r="F39" s="18" t="n">
        <f aca="false">IFERROR(SUMIFS(Daily_Performance!$D$2:$D$1311,Daily_Performance!$I$2:$I$1311,A39)/SUMIFS(Daily_Performance!$C$2:$C$1311,Daily_Performance!$I$2:$I$1311,A39),0)</f>
        <v>0.00921922546971394</v>
      </c>
      <c r="G39" s="18" t="n">
        <f aca="false">IFERROR(SUMIFS(Daily_Performance!$F$2:$F$1311,Daily_Performance!$I$2:$I$1311,A39)/SUMIFS(Daily_Performance!$D$2:$D$1311,Daily_Performance!$I$2:$I$1311,A39),0)</f>
        <v>0.0142759754581545</v>
      </c>
      <c r="H39" s="19" t="n">
        <f aca="false">IFERROR(B39/B$40,0)</f>
        <v>0.202151507392891</v>
      </c>
      <c r="I39" s="19" t="n">
        <f aca="false">IFERROR(C39/C$40,0)</f>
        <v>0.035191237335491</v>
      </c>
    </row>
    <row r="40" customFormat="false" ht="15" hidden="false" customHeight="false" outlineLevel="0" collapsed="false">
      <c r="A40" s="20" t="s">
        <v>56</v>
      </c>
      <c r="B40" s="21" t="n">
        <f aca="false">SUM(B34:B39)</f>
        <v>8080939</v>
      </c>
      <c r="C40" s="21" t="n">
        <f aca="false">SUM(C34:C39)</f>
        <v>35766290</v>
      </c>
      <c r="D40" s="22" t="n">
        <f aca="false">IFERROR(C40/B40,0)</f>
        <v>4.42600668065927</v>
      </c>
      <c r="E40" s="21" t="n">
        <f aca="false">IFERROR(B40/SUM(Daily_Performance!$F$2:$F$1311),0)</f>
        <v>756.571388446775</v>
      </c>
      <c r="F40" s="23" t="n">
        <f aca="false">IFERROR(SUM(Daily_Performance!$D$2:$D$1311)/SUM(Daily_Performance!$C$2:$C$1311),0)</f>
        <v>0.0158377293959166</v>
      </c>
      <c r="G40" s="23" t="n">
        <f aca="false">IFERROR(SUM(Daily_Performance!$F$2:$F$1311)/SUM(Daily_Performance!$D$2:$D$1311),0)</f>
        <v>0.0282681304023332</v>
      </c>
      <c r="H40" s="24" t="n">
        <f aca="false">SUM(H34:H39)</f>
        <v>1</v>
      </c>
      <c r="I40" s="24" t="n">
        <f aca="false">SUM(I34:I39)</f>
        <v>1</v>
      </c>
    </row>
    <row r="58" customFormat="false" ht="15" hidden="false" customHeight="false" outlineLevel="0" collapsed="false">
      <c r="A58" s="10" t="s">
        <v>57</v>
      </c>
      <c r="B58" s="10"/>
      <c r="C58" s="10"/>
      <c r="D58" s="10"/>
      <c r="E58" s="10"/>
      <c r="F58" s="10"/>
      <c r="G58" s="10"/>
      <c r="H58" s="10"/>
      <c r="I58" s="10"/>
      <c r="J58" s="10"/>
      <c r="K58" s="10"/>
      <c r="L58" s="10"/>
    </row>
    <row r="59" customFormat="false" ht="15" hidden="false" customHeight="false" outlineLevel="0" collapsed="false">
      <c r="A59" s="12" t="s">
        <v>58</v>
      </c>
      <c r="B59" s="12" t="s">
        <v>59</v>
      </c>
      <c r="C59" s="12" t="s">
        <v>39</v>
      </c>
      <c r="D59" s="12" t="s">
        <v>40</v>
      </c>
      <c r="E59" s="12" t="s">
        <v>41</v>
      </c>
      <c r="F59" s="12" t="s">
        <v>48</v>
      </c>
    </row>
    <row r="60" customFormat="false" ht="15" hidden="false" customHeight="false" outlineLevel="0" collapsed="false">
      <c r="A60" s="17" t="s">
        <v>60</v>
      </c>
      <c r="B60" s="15" t="n">
        <f aca="false">COUNTIF(Campaigns!$U$2:$U$31,A60)</f>
        <v>11</v>
      </c>
      <c r="C60" s="15" t="n">
        <f aca="false">SUMIFS(Campaigns!$H$2:$H$31,Campaigns!$U$2:$U$31,A60)</f>
        <v>2159945</v>
      </c>
      <c r="D60" s="15" t="n">
        <f aca="false">SUMIFS(Campaigns!$M$2:$M$31,Campaigns!$U$2:$U$31,A60)</f>
        <v>26138040</v>
      </c>
      <c r="E60" s="16" t="n">
        <f aca="false">IFERROR(D60/C60,0)</f>
        <v>12.1012525781906</v>
      </c>
      <c r="F60" s="19" t="n">
        <f aca="false">IFERROR(C60/C$64,0)</f>
        <v>0.267288863336303</v>
      </c>
    </row>
    <row r="61" customFormat="false" ht="15" hidden="false" customHeight="false" outlineLevel="0" collapsed="false">
      <c r="A61" s="17" t="s">
        <v>61</v>
      </c>
      <c r="B61" s="15" t="n">
        <f aca="false">COUNTIF(Campaigns!$U$2:$U$31,A61)</f>
        <v>9</v>
      </c>
      <c r="C61" s="15" t="n">
        <f aca="false">SUMIFS(Campaigns!$H$2:$H$31,Campaigns!$U$2:$U$31,A61)</f>
        <v>2341023</v>
      </c>
      <c r="D61" s="15" t="n">
        <f aca="false">SUMIFS(Campaigns!$M$2:$M$31,Campaigns!$U$2:$U$31,A61)</f>
        <v>7062810</v>
      </c>
      <c r="E61" s="16" t="n">
        <f aca="false">IFERROR(D61/C61,0)</f>
        <v>3.01697591181291</v>
      </c>
      <c r="F61" s="19" t="n">
        <f aca="false">IFERROR(C61/C$64,0)</f>
        <v>0.289696902798054</v>
      </c>
    </row>
    <row r="62" customFormat="false" ht="15" hidden="false" customHeight="false" outlineLevel="0" collapsed="false">
      <c r="A62" s="17" t="s">
        <v>62</v>
      </c>
      <c r="B62" s="15" t="n">
        <f aca="false">COUNTIF(Campaigns!$U$2:$U$31,A62)</f>
        <v>8</v>
      </c>
      <c r="C62" s="15" t="n">
        <f aca="false">SUMIFS(Campaigns!$H$2:$H$31,Campaigns!$U$2:$U$31,A62)</f>
        <v>2626096</v>
      </c>
      <c r="D62" s="15" t="n">
        <f aca="false">SUMIFS(Campaigns!$M$2:$M$31,Campaigns!$U$2:$U$31,A62)</f>
        <v>2216560</v>
      </c>
      <c r="E62" s="16" t="n">
        <f aca="false">IFERROR(D62/C62,0)</f>
        <v>0.844051397968696</v>
      </c>
      <c r="F62" s="19" t="n">
        <f aca="false">IFERROR(C62/C$64,0)</f>
        <v>0.324974115013119</v>
      </c>
    </row>
    <row r="63" customFormat="false" ht="15" hidden="false" customHeight="false" outlineLevel="0" collapsed="false">
      <c r="A63" s="17" t="s">
        <v>63</v>
      </c>
      <c r="B63" s="15" t="n">
        <f aca="false">COUNTIF(Campaigns!$U$2:$U$31,A63)</f>
        <v>2</v>
      </c>
      <c r="C63" s="15" t="n">
        <f aca="false">SUMIFS(Campaigns!$H$2:$H$31,Campaigns!$U$2:$U$31,A63)</f>
        <v>953875</v>
      </c>
      <c r="D63" s="15" t="n">
        <f aca="false">SUMIFS(Campaigns!$M$2:$M$31,Campaigns!$U$2:$U$31,A63)</f>
        <v>348880</v>
      </c>
      <c r="E63" s="16" t="n">
        <f aca="false">IFERROR(D63/C63,0)</f>
        <v>0.365750229327742</v>
      </c>
      <c r="F63" s="19" t="n">
        <f aca="false">IFERROR(C63/C$64,0)</f>
        <v>0.118040118852524</v>
      </c>
    </row>
    <row r="64" customFormat="false" ht="15" hidden="false" customHeight="false" outlineLevel="0" collapsed="false">
      <c r="A64" s="20" t="s">
        <v>56</v>
      </c>
      <c r="B64" s="21" t="n">
        <f aca="false">SUM(B60:B63)</f>
        <v>30</v>
      </c>
      <c r="C64" s="21" t="n">
        <f aca="false">SUM(C60:C63)</f>
        <v>8080939</v>
      </c>
      <c r="D64" s="21" t="n">
        <f aca="false">SUM(D60:D63)</f>
        <v>35766290</v>
      </c>
      <c r="E64" s="22" t="n">
        <f aca="false">IFERROR(D64/C64,0)</f>
        <v>4.42600668065927</v>
      </c>
      <c r="F64" s="24" t="n">
        <f aca="false">SUM(F60:F63)</f>
        <v>1</v>
      </c>
    </row>
    <row r="67" customFormat="false" ht="15" hidden="false" customHeight="false" outlineLevel="0" collapsed="false">
      <c r="A67" s="10" t="s">
        <v>64</v>
      </c>
      <c r="B67" s="10"/>
      <c r="C67" s="10"/>
      <c r="D67" s="10"/>
      <c r="E67" s="10"/>
      <c r="F67" s="10"/>
      <c r="G67" s="10"/>
      <c r="H67" s="10"/>
      <c r="I67" s="10"/>
      <c r="J67" s="10"/>
      <c r="K67" s="10"/>
      <c r="L67" s="10"/>
    </row>
    <row r="68" customFormat="false" ht="15" hidden="false" customHeight="true" outlineLevel="0" collapsed="false">
      <c r="A68" s="12" t="s">
        <v>65</v>
      </c>
      <c r="B68" s="12"/>
      <c r="C68" s="12"/>
      <c r="D68" s="12"/>
      <c r="E68" s="12"/>
      <c r="G68" s="12" t="s">
        <v>66</v>
      </c>
      <c r="H68" s="12"/>
      <c r="I68" s="12"/>
      <c r="J68" s="12"/>
      <c r="K68" s="12"/>
    </row>
    <row r="69" customFormat="false" ht="15" hidden="false" customHeight="false" outlineLevel="0" collapsed="false">
      <c r="A69" s="12" t="s">
        <v>67</v>
      </c>
      <c r="B69" s="12" t="s">
        <v>68</v>
      </c>
      <c r="C69" s="12" t="s">
        <v>44</v>
      </c>
      <c r="D69" s="12" t="s">
        <v>39</v>
      </c>
      <c r="E69" s="12" t="s">
        <v>41</v>
      </c>
      <c r="G69" s="12" t="s">
        <v>67</v>
      </c>
      <c r="H69" s="12" t="s">
        <v>68</v>
      </c>
      <c r="I69" s="12" t="s">
        <v>44</v>
      </c>
      <c r="J69" s="12" t="s">
        <v>39</v>
      </c>
      <c r="K69" s="12" t="s">
        <v>41</v>
      </c>
    </row>
    <row r="70" customFormat="false" ht="15" hidden="false" customHeight="false" outlineLevel="0" collapsed="false">
      <c r="A70" s="14" t="n">
        <v>1</v>
      </c>
      <c r="B70" s="17" t="str">
        <f aca="false">INDEX(Campaigns!$B$2:$B$31,MATCH(A70,Campaigns!$V$2:$V$31,0))</f>
        <v>WhatsApp - Cart Recovery</v>
      </c>
      <c r="C70" s="17" t="str">
        <f aca="false">INDEX(Campaigns!$C$2:$C$31,MATCH(A70,Campaigns!$V$2:$V$31,0))</f>
        <v>WhatsApp Broadcast</v>
      </c>
      <c r="D70" s="15" t="n">
        <f aca="false">INDEX(Campaigns!$H$2:$H$31,MATCH(A70,Campaigns!$V$2:$V$31,0))</f>
        <v>125010</v>
      </c>
      <c r="E70" s="16" t="n">
        <f aca="false">INDEX(Campaigns!$R$2:$R$31,MATCH(A70,Campaigns!$V$2:$V$31,0))</f>
        <v>19.5901927845772</v>
      </c>
      <c r="G70" s="14" t="n">
        <f aca="false">COUNTIF(Campaigns!$D$2:$D$31,"&lt;&gt;Awareness")-0</f>
        <v>28</v>
      </c>
      <c r="H70" s="17" t="str">
        <f aca="false">INDEX(Campaigns!$B$2:$B$31,MATCH(G70,Campaigns!$V$2:$V$31,0))</f>
        <v>Influencer - Home Makeover Guide</v>
      </c>
      <c r="I70" s="17" t="str">
        <f aca="false">INDEX(Campaigns!$C$2:$C$31,MATCH(G70,Campaigns!$V$2:$V$31,0))</f>
        <v>Influencer Partnerships</v>
      </c>
      <c r="J70" s="15" t="n">
        <f aca="false">INDEX(Campaigns!$H$2:$H$31,MATCH(G70,Campaigns!$V$2:$V$31,0))</f>
        <v>416396</v>
      </c>
      <c r="K70" s="16" t="n">
        <f aca="false">INDEX(Campaigns!$R$2:$R$31,MATCH(G70,Campaigns!$V$2:$V$31,0))</f>
        <v>0.537661264757587</v>
      </c>
    </row>
    <row r="71" customFormat="false" ht="15" hidden="false" customHeight="false" outlineLevel="0" collapsed="false">
      <c r="A71" s="14" t="n">
        <v>2</v>
      </c>
      <c r="B71" s="17" t="str">
        <f aca="false">INDEX(Campaigns!$B$2:$B$31,MATCH(A71,Campaigns!$V$2:$V$31,0))</f>
        <v>Google - Back-to-School Sale</v>
      </c>
      <c r="C71" s="17" t="str">
        <f aca="false">INDEX(Campaigns!$C$2:$C$31,MATCH(A71,Campaigns!$V$2:$V$31,0))</f>
        <v>Google Search Ads</v>
      </c>
      <c r="D71" s="15" t="n">
        <f aca="false">INDEX(Campaigns!$H$2:$H$31,MATCH(A71,Campaigns!$V$2:$V$31,0))</f>
        <v>505878</v>
      </c>
      <c r="E71" s="16" t="n">
        <f aca="false">INDEX(Campaigns!$R$2:$R$31,MATCH(A71,Campaigns!$V$2:$V$31,0))</f>
        <v>14.7431198826595</v>
      </c>
      <c r="G71" s="14" t="n">
        <f aca="false">COUNTIF(Campaigns!$D$2:$D$31,"&lt;&gt;Awareness")-1</f>
        <v>27</v>
      </c>
      <c r="H71" s="17" t="str">
        <f aca="false">INDEX(Campaigns!$B$2:$B$31,MATCH(G71,Campaigns!$V$2:$V$31,0))</f>
        <v>Influencer - Cart Recovery</v>
      </c>
      <c r="I71" s="17" t="str">
        <f aca="false">INDEX(Campaigns!$C$2:$C$31,MATCH(G71,Campaigns!$V$2:$V$31,0))</f>
        <v>Influencer Partnerships</v>
      </c>
      <c r="J71" s="15" t="n">
        <f aca="false">INDEX(Campaigns!$H$2:$H$31,MATCH(G71,Campaigns!$V$2:$V$31,0))</f>
        <v>179421</v>
      </c>
      <c r="K71" s="16" t="n">
        <f aca="false">INDEX(Campaigns!$R$2:$R$31,MATCH(G71,Campaigns!$V$2:$V$31,0))</f>
        <v>0.701199971017885</v>
      </c>
    </row>
    <row r="72" customFormat="false" ht="15" hidden="false" customHeight="false" outlineLevel="0" collapsed="false">
      <c r="A72" s="14" t="n">
        <v>3</v>
      </c>
      <c r="B72" s="17" t="str">
        <f aca="false">INDEX(Campaigns!$B$2:$B$31,MATCH(A72,Campaigns!$V$2:$V$31,0))</f>
        <v>Email - Clearance Event</v>
      </c>
      <c r="C72" s="17" t="str">
        <f aca="false">INDEX(Campaigns!$C$2:$C$31,MATCH(A72,Campaigns!$V$2:$V$31,0))</f>
        <v>Email</v>
      </c>
      <c r="D72" s="15" t="n">
        <f aca="false">INDEX(Campaigns!$H$2:$H$31,MATCH(A72,Campaigns!$V$2:$V$31,0))</f>
        <v>137404</v>
      </c>
      <c r="E72" s="16" t="n">
        <f aca="false">INDEX(Campaigns!$R$2:$R$31,MATCH(A72,Campaigns!$V$2:$V$31,0))</f>
        <v>13.0971441879421</v>
      </c>
      <c r="G72" s="14" t="n">
        <f aca="false">COUNTIF(Campaigns!$D$2:$D$31,"&lt;&gt;Awareness")-2</f>
        <v>26</v>
      </c>
      <c r="H72" s="17" t="str">
        <f aca="false">INDEX(Campaigns!$B$2:$B$31,MATCH(G72,Campaigns!$V$2:$V$31,0))</f>
        <v>TikTok - Home Makeover Guide</v>
      </c>
      <c r="I72" s="17" t="str">
        <f aca="false">INDEX(Campaigns!$C$2:$C$31,MATCH(G72,Campaigns!$V$2:$V$31,0))</f>
        <v>TikTok Ads</v>
      </c>
      <c r="J72" s="15" t="n">
        <f aca="false">INDEX(Campaigns!$H$2:$H$31,MATCH(G72,Campaigns!$V$2:$V$31,0))</f>
        <v>117670</v>
      </c>
      <c r="K72" s="16" t="n">
        <f aca="false">INDEX(Campaigns!$R$2:$R$31,MATCH(G72,Campaigns!$V$2:$V$31,0))</f>
        <v>0.734596753633042</v>
      </c>
    </row>
    <row r="73" customFormat="false" ht="15" hidden="false" customHeight="false" outlineLevel="0" collapsed="false">
      <c r="A73" s="14" t="n">
        <v>4</v>
      </c>
      <c r="B73" s="17" t="str">
        <f aca="false">INDEX(Campaigns!$B$2:$B$31,MATCH(A73,Campaigns!$V$2:$V$31,0))</f>
        <v>Email - Referral Bonus</v>
      </c>
      <c r="C73" s="17" t="str">
        <f aca="false">INDEX(Campaigns!$C$2:$C$31,MATCH(A73,Campaigns!$V$2:$V$31,0))</f>
        <v>Email</v>
      </c>
      <c r="D73" s="15" t="n">
        <f aca="false">INDEX(Campaigns!$H$2:$H$31,MATCH(A73,Campaigns!$V$2:$V$31,0))</f>
        <v>135193</v>
      </c>
      <c r="E73" s="16" t="n">
        <f aca="false">INDEX(Campaigns!$R$2:$R$31,MATCH(A73,Campaigns!$V$2:$V$31,0))</f>
        <v>12.265575880408</v>
      </c>
      <c r="G73" s="14" t="n">
        <f aca="false">COUNTIF(Campaigns!$D$2:$D$31,"&lt;&gt;Awareness")-3</f>
        <v>25</v>
      </c>
      <c r="H73" s="17" t="str">
        <f aca="false">INDEX(Campaigns!$B$2:$B$31,MATCH(G73,Campaigns!$V$2:$V$31,0))</f>
        <v>Influencer - Loyalty Rewards</v>
      </c>
      <c r="I73" s="17" t="str">
        <f aca="false">INDEX(Campaigns!$C$2:$C$31,MATCH(G73,Campaigns!$V$2:$V$31,0))</f>
        <v>Influencer Partnerships</v>
      </c>
      <c r="J73" s="15" t="n">
        <f aca="false">INDEX(Campaigns!$H$2:$H$31,MATCH(G73,Campaigns!$V$2:$V$31,0))</f>
        <v>289426</v>
      </c>
      <c r="K73" s="16" t="n">
        <f aca="false">INDEX(Campaigns!$R$2:$R$31,MATCH(G73,Campaigns!$V$2:$V$31,0))</f>
        <v>0.794434501392411</v>
      </c>
    </row>
    <row r="74" customFormat="false" ht="15" hidden="false" customHeight="false" outlineLevel="0" collapsed="false">
      <c r="A74" s="14" t="n">
        <v>5</v>
      </c>
      <c r="B74" s="17" t="str">
        <f aca="false">INDEX(Campaigns!$B$2:$B$31,MATCH(A74,Campaigns!$V$2:$V$31,0))</f>
        <v>Email - Brand Story</v>
      </c>
      <c r="C74" s="17" t="str">
        <f aca="false">INDEX(Campaigns!$C$2:$C$31,MATCH(A74,Campaigns!$V$2:$V$31,0))</f>
        <v>Email</v>
      </c>
      <c r="D74" s="15" t="n">
        <f aca="false">INDEX(Campaigns!$H$2:$H$31,MATCH(A74,Campaigns!$V$2:$V$31,0))</f>
        <v>34356</v>
      </c>
      <c r="E74" s="16" t="n">
        <f aca="false">INDEX(Campaigns!$R$2:$R$31,MATCH(A74,Campaigns!$V$2:$V$31,0))</f>
        <v>11.9871347071836</v>
      </c>
      <c r="G74" s="14" t="n">
        <f aca="false">COUNTIF(Campaigns!$D$2:$D$31,"&lt;&gt;Awareness")-4</f>
        <v>24</v>
      </c>
      <c r="H74" s="17" t="str">
        <f aca="false">INDEX(Campaigns!$B$2:$B$31,MATCH(G74,Campaigns!$V$2:$V$31,0))</f>
        <v>Influencer - Back-to-School Sale</v>
      </c>
      <c r="I74" s="17" t="str">
        <f aca="false">INDEX(Campaigns!$C$2:$C$31,MATCH(G74,Campaigns!$V$2:$V$31,0))</f>
        <v>Influencer Partnerships</v>
      </c>
      <c r="J74" s="15" t="n">
        <f aca="false">INDEX(Campaigns!$H$2:$H$31,MATCH(G74,Campaigns!$V$2:$V$31,0))</f>
        <v>216806</v>
      </c>
      <c r="K74" s="16" t="n">
        <f aca="false">INDEX(Campaigns!$R$2:$R$31,MATCH(G74,Campaigns!$V$2:$V$31,0))</f>
        <v>0.906709223914467</v>
      </c>
    </row>
    <row r="81" customFormat="false" ht="15" hidden="false" customHeight="false" outlineLevel="0" collapsed="false">
      <c r="A81" s="10" t="s">
        <v>69</v>
      </c>
      <c r="B81" s="10"/>
      <c r="C81" s="10"/>
      <c r="D81" s="10"/>
      <c r="E81" s="10"/>
      <c r="F81" s="10"/>
      <c r="G81" s="10"/>
      <c r="H81" s="10"/>
      <c r="I81" s="10"/>
      <c r="J81" s="10"/>
      <c r="K81" s="10"/>
      <c r="L81" s="10"/>
    </row>
    <row r="82" customFormat="false" ht="15" hidden="false" customHeight="false" outlineLevel="0" collapsed="false">
      <c r="A82" s="17" t="s">
        <v>70</v>
      </c>
      <c r="B82" s="17"/>
      <c r="C82" s="17"/>
      <c r="D82" s="15" t="n">
        <f aca="false">C62</f>
        <v>2626096</v>
      </c>
    </row>
    <row r="83" customFormat="false" ht="15" hidden="false" customHeight="false" outlineLevel="0" collapsed="false">
      <c r="A83" s="17" t="s">
        <v>71</v>
      </c>
      <c r="B83" s="17"/>
      <c r="C83" s="17"/>
      <c r="D83" s="15" t="n">
        <f aca="false">D62</f>
        <v>2216560</v>
      </c>
    </row>
    <row r="84" customFormat="false" ht="15" hidden="false" customHeight="false" outlineLevel="0" collapsed="false">
      <c r="A84" s="17" t="s">
        <v>72</v>
      </c>
      <c r="B84" s="17"/>
      <c r="C84" s="17"/>
      <c r="D84" s="16" t="n">
        <f aca="false">IFERROR((D60+D61)/(C60+C61),0)</f>
        <v>7.37637992538494</v>
      </c>
    </row>
    <row r="85" customFormat="false" ht="15" hidden="false" customHeight="false" outlineLevel="0" collapsed="false">
      <c r="A85" s="17" t="s">
        <v>73</v>
      </c>
      <c r="B85" s="17"/>
      <c r="C85" s="17"/>
      <c r="D85" s="16" t="n">
        <f aca="false">D84*Assumptions!B9</f>
        <v>2.95055197015398</v>
      </c>
    </row>
    <row r="86" customFormat="false" ht="15" hidden="false" customHeight="false" outlineLevel="0" collapsed="false">
      <c r="A86" s="17" t="s">
        <v>74</v>
      </c>
      <c r="B86" s="17"/>
      <c r="C86" s="17"/>
      <c r="D86" s="15" t="n">
        <f aca="false">D82*D85</f>
        <v>7748432.72661348</v>
      </c>
    </row>
    <row r="87" customFormat="false" ht="15" hidden="false" customHeight="false" outlineLevel="0" collapsed="false">
      <c r="A87" s="25" t="s">
        <v>75</v>
      </c>
      <c r="B87" s="25"/>
      <c r="C87" s="25"/>
      <c r="D87" s="21" t="n">
        <f aca="false">D86-D83</f>
        <v>5531872.72661348</v>
      </c>
    </row>
    <row r="88" customFormat="false" ht="15" hidden="false" customHeight="false" outlineLevel="0" collapsed="false">
      <c r="A88" s="26" t="s">
        <v>76</v>
      </c>
    </row>
  </sheetData>
  <mergeCells count="35">
    <mergeCell ref="A1:L1"/>
    <mergeCell ref="A2:L2"/>
    <mergeCell ref="A4:B4"/>
    <mergeCell ref="C4:D4"/>
    <mergeCell ref="E4:F4"/>
    <mergeCell ref="G4:H4"/>
    <mergeCell ref="I4:J4"/>
    <mergeCell ref="K4:L4"/>
    <mergeCell ref="A5:B5"/>
    <mergeCell ref="C5:D5"/>
    <mergeCell ref="E5:F5"/>
    <mergeCell ref="G5:H5"/>
    <mergeCell ref="I5:J5"/>
    <mergeCell ref="K5:L5"/>
    <mergeCell ref="A7:L7"/>
    <mergeCell ref="A8:L8"/>
    <mergeCell ref="A9:L9"/>
    <mergeCell ref="A10:L10"/>
    <mergeCell ref="A11:L11"/>
    <mergeCell ref="A12:L12"/>
    <mergeCell ref="A13:L13"/>
    <mergeCell ref="A14:L14"/>
    <mergeCell ref="A16:L16"/>
    <mergeCell ref="A32:L32"/>
    <mergeCell ref="A58:L58"/>
    <mergeCell ref="A67:L67"/>
    <mergeCell ref="A68:E68"/>
    <mergeCell ref="G68:K68"/>
    <mergeCell ref="A81:L81"/>
    <mergeCell ref="A82:C82"/>
    <mergeCell ref="A83:C83"/>
    <mergeCell ref="A84:C84"/>
    <mergeCell ref="A85:C85"/>
    <mergeCell ref="A86:C86"/>
    <mergeCell ref="A87:C87"/>
  </mergeCells>
  <conditionalFormatting sqref="D34:D39">
    <cfRule type="colorScale" priority="2">
      <colorScale>
        <cfvo type="min" val="0"/>
        <cfvo type="max" val="0"/>
        <color rgb="FFF4B6B6"/>
        <color rgb="FFC6E0B4"/>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90"/>
  </cols>
  <sheetData>
    <row r="1" customFormat="false" ht="17.35" hidden="false" customHeight="false" outlineLevel="0" collapsed="false">
      <c r="A1" s="27" t="s">
        <v>77</v>
      </c>
    </row>
    <row r="2" customFormat="false" ht="15" hidden="false" customHeight="false" outlineLevel="0" collapsed="false">
      <c r="A2" s="26" t="s">
        <v>78</v>
      </c>
    </row>
    <row r="4" customFormat="false" ht="15" hidden="false" customHeight="false" outlineLevel="0" collapsed="false">
      <c r="A4" s="28" t="s">
        <v>79</v>
      </c>
      <c r="B4" s="29" t="n">
        <v>46295</v>
      </c>
      <c r="C4" s="26" t="s">
        <v>80</v>
      </c>
    </row>
    <row r="5" customFormat="false" ht="15" hidden="false" customHeight="false" outlineLevel="0" collapsed="false">
      <c r="A5" s="28" t="s">
        <v>81</v>
      </c>
      <c r="B5" s="29" t="n">
        <v>46204</v>
      </c>
      <c r="C5" s="26" t="s">
        <v>82</v>
      </c>
    </row>
    <row r="6" customFormat="false" ht="15" hidden="false" customHeight="false" outlineLevel="0" collapsed="false">
      <c r="A6" s="28" t="s">
        <v>83</v>
      </c>
      <c r="B6" s="30" t="n">
        <f aca="false">(YEAR(B4)-YEAR(B5))*12+MONTH(B4)-MONTH(B5)+1</f>
        <v>3</v>
      </c>
      <c r="C6" s="26" t="s">
        <v>84</v>
      </c>
    </row>
    <row r="7" customFormat="false" ht="15" hidden="false" customHeight="false" outlineLevel="0" collapsed="false">
      <c r="A7" s="28" t="s">
        <v>85</v>
      </c>
      <c r="B7" s="31" t="n">
        <v>6</v>
      </c>
      <c r="C7" s="26" t="s">
        <v>86</v>
      </c>
    </row>
    <row r="8" customFormat="false" ht="15" hidden="false" customHeight="false" outlineLevel="0" collapsed="false">
      <c r="A8" s="28" t="s">
        <v>87</v>
      </c>
      <c r="B8" s="31" t="n">
        <v>2</v>
      </c>
      <c r="C8" s="26" t="s">
        <v>88</v>
      </c>
    </row>
    <row r="9" customFormat="false" ht="15" hidden="false" customHeight="false" outlineLevel="0" collapsed="false">
      <c r="A9" s="28" t="s">
        <v>89</v>
      </c>
      <c r="B9" s="32" t="n">
        <v>0.4</v>
      </c>
      <c r="C9" s="26" t="s">
        <v>90</v>
      </c>
    </row>
    <row r="11" customFormat="false" ht="15" hidden="false" customHeight="false" outlineLevel="0" collapsed="false">
      <c r="A11" s="26" t="s">
        <v>91</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3" min="3" style="0" width="25"/>
    <col collapsed="false" customWidth="true" hidden="false" outlineLevel="0" max="6" min="4" style="0" width="11"/>
    <col collapsed="false" customWidth="true" hidden="false" outlineLevel="0" max="7" min="7" style="0" width="13"/>
    <col collapsed="false" customWidth="true" hidden="false" outlineLevel="0" max="9" min="8" style="0" width="12"/>
    <col collapsed="false" customWidth="true" hidden="false" outlineLevel="0" max="10" min="10" style="0" width="9"/>
    <col collapsed="false" customWidth="true" hidden="false" outlineLevel="0" max="11" min="11" style="0" width="8"/>
    <col collapsed="false" customWidth="true" hidden="false" outlineLevel="0" max="12" min="12" style="0" width="9"/>
    <col collapsed="false" customWidth="true" hidden="false" outlineLevel="0" max="13" min="13" style="0" width="13"/>
    <col collapsed="false" customWidth="true" hidden="false" outlineLevel="0" max="14" min="14" style="0" width="8"/>
    <col collapsed="false" customWidth="true" hidden="false" outlineLevel="0" max="17" min="15" style="0" width="11"/>
    <col collapsed="false" customWidth="true" hidden="false" outlineLevel="0" max="18" min="18" style="0" width="8"/>
    <col collapsed="false" customWidth="true" hidden="false" outlineLevel="0" max="20" min="19" style="0" width="10"/>
    <col collapsed="false" customWidth="true" hidden="false" outlineLevel="0" max="21" min="21" style="0" width="19"/>
    <col collapsed="false" customWidth="true" hidden="false" outlineLevel="0" max="22" min="22" style="0" width="10"/>
  </cols>
  <sheetData>
    <row r="1" customFormat="false" ht="31.5" hidden="false" customHeight="true" outlineLevel="0" collapsed="false">
      <c r="A1" s="33" t="s">
        <v>92</v>
      </c>
      <c r="B1" s="33" t="s">
        <v>68</v>
      </c>
      <c r="C1" s="33" t="s">
        <v>44</v>
      </c>
      <c r="D1" s="33" t="s">
        <v>93</v>
      </c>
      <c r="E1" s="33" t="s">
        <v>94</v>
      </c>
      <c r="F1" s="33" t="s">
        <v>95</v>
      </c>
      <c r="G1" s="33" t="s">
        <v>96</v>
      </c>
      <c r="H1" s="33" t="s">
        <v>39</v>
      </c>
      <c r="I1" s="33" t="s">
        <v>97</v>
      </c>
      <c r="J1" s="33" t="s">
        <v>98</v>
      </c>
      <c r="K1" s="33" t="s">
        <v>99</v>
      </c>
      <c r="L1" s="33" t="s">
        <v>42</v>
      </c>
      <c r="M1" s="33" t="s">
        <v>40</v>
      </c>
      <c r="N1" s="33" t="s">
        <v>46</v>
      </c>
      <c r="O1" s="33" t="s">
        <v>100</v>
      </c>
      <c r="P1" s="33" t="s">
        <v>101</v>
      </c>
      <c r="Q1" s="33" t="s">
        <v>102</v>
      </c>
      <c r="R1" s="33" t="s">
        <v>41</v>
      </c>
      <c r="S1" s="33" t="s">
        <v>47</v>
      </c>
      <c r="T1" s="33" t="s">
        <v>103</v>
      </c>
      <c r="U1" s="33" t="s">
        <v>58</v>
      </c>
      <c r="V1" s="33" t="s">
        <v>104</v>
      </c>
    </row>
    <row r="2" customFormat="false" ht="15" hidden="false" customHeight="false" outlineLevel="0" collapsed="false">
      <c r="A2" s="28" t="s">
        <v>105</v>
      </c>
      <c r="B2" s="28" t="s">
        <v>106</v>
      </c>
      <c r="C2" s="28" t="s">
        <v>51</v>
      </c>
      <c r="D2" s="28" t="s">
        <v>107</v>
      </c>
      <c r="E2" s="34" t="n">
        <v>46215</v>
      </c>
      <c r="F2" s="34" t="n">
        <v>46281</v>
      </c>
      <c r="G2" s="35" t="n">
        <v>420000</v>
      </c>
      <c r="H2" s="35" t="n">
        <f aca="false">SUMIFS(Daily_Performance!$H$2:$H$1311,Daily_Performance!$B$2:$B$1311,A2)</f>
        <v>320522</v>
      </c>
      <c r="I2" s="35" t="n">
        <f aca="false">SUMIFS(Daily_Performance!$C$2:$C$1311,Daily_Performance!$B$2:$B$1311,A2)</f>
        <v>357604</v>
      </c>
      <c r="J2" s="35" t="n">
        <f aca="false">SUMIFS(Daily_Performance!$D$2:$D$1311,Daily_Performance!$B$2:$B$1311,A2)</f>
        <v>13734</v>
      </c>
      <c r="K2" s="35" t="n">
        <f aca="false">SUMIFS(Daily_Performance!$E$2:$E$1311,Daily_Performance!$B$2:$B$1311,A2)</f>
        <v>528</v>
      </c>
      <c r="L2" s="35" t="n">
        <f aca="false">SUMIFS(Daily_Performance!$F$2:$F$1311,Daily_Performance!$B$2:$B$1311,A2)</f>
        <v>379</v>
      </c>
      <c r="M2" s="35" t="n">
        <f aca="false">SUMIFS(Daily_Performance!$G$2:$G$1311,Daily_Performance!$B$2:$B$1311,A2)</f>
        <v>1418470</v>
      </c>
      <c r="N2" s="36" t="n">
        <f aca="false">IFERROR(J2/I2,0)</f>
        <v>0.0384056106754958</v>
      </c>
      <c r="O2" s="37" t="n">
        <f aca="false">IFERROR(H2/J2,0)</f>
        <v>23.3378476772972</v>
      </c>
      <c r="P2" s="35" t="n">
        <f aca="false">IFERROR(H2/K2,0)</f>
        <v>607.049242424242</v>
      </c>
      <c r="Q2" s="35" t="n">
        <f aca="false">IFERROR(H2/L2,0)</f>
        <v>845.704485488127</v>
      </c>
      <c r="R2" s="38" t="n">
        <f aca="false">IFERROR(M2/H2,0)</f>
        <v>4.42549965368992</v>
      </c>
      <c r="S2" s="36" t="n">
        <f aca="false">IFERROR(L2/J2,0)</f>
        <v>0.027595747779234</v>
      </c>
      <c r="T2" s="39" t="n">
        <f aca="false">IFERROR(H2/G2,0)</f>
        <v>0.763147619047619</v>
      </c>
      <c r="U2" s="28" t="str">
        <f aca="false">IF(D2="Awareness","Review (awareness)",IF(R2&gt;=Assumptions!$B$7,"Scale",IF(R2&gt;=Assumptions!$B$8,"Optimise","Pause / Rework")))</f>
        <v>Optimise</v>
      </c>
      <c r="V2" s="28" t="n">
        <f aca="false">IF(D2="Awareness","",COUNTIFS($D$2:$D$31,"&lt;&gt;Awareness",$R$2:$R$31,"&gt;"&amp;R2)+COUNTIFS($D$2:D2,"&lt;&gt;Awareness",$R$2:R2,R2))</f>
        <v>12</v>
      </c>
    </row>
    <row r="3" customFormat="false" ht="15" hidden="false" customHeight="false" outlineLevel="0" collapsed="false">
      <c r="A3" s="28" t="s">
        <v>108</v>
      </c>
      <c r="B3" s="28" t="s">
        <v>109</v>
      </c>
      <c r="C3" s="28" t="s">
        <v>53</v>
      </c>
      <c r="D3" s="28" t="s">
        <v>107</v>
      </c>
      <c r="E3" s="34" t="n">
        <v>46218</v>
      </c>
      <c r="F3" s="34" t="n">
        <v>46275</v>
      </c>
      <c r="G3" s="35" t="n">
        <v>140000</v>
      </c>
      <c r="H3" s="35" t="n">
        <f aca="false">SUMIFS(Daily_Performance!$H$2:$H$1311,Daily_Performance!$B$2:$B$1311,A3)</f>
        <v>137404</v>
      </c>
      <c r="I3" s="35" t="n">
        <f aca="false">SUMIFS(Daily_Performance!$C$2:$C$1311,Daily_Performance!$B$2:$B$1311,A3)</f>
        <v>392509</v>
      </c>
      <c r="J3" s="35" t="n">
        <f aca="false">SUMIFS(Daily_Performance!$D$2:$D$1311,Daily_Performance!$B$2:$B$1311,A3)</f>
        <v>12908</v>
      </c>
      <c r="K3" s="35" t="n">
        <f aca="false">SUMIFS(Daily_Performance!$E$2:$E$1311,Daily_Performance!$B$2:$B$1311,A3)</f>
        <v>508</v>
      </c>
      <c r="L3" s="35" t="n">
        <f aca="false">SUMIFS(Daily_Performance!$F$2:$F$1311,Daily_Performance!$B$2:$B$1311,A3)</f>
        <v>584</v>
      </c>
      <c r="M3" s="35" t="n">
        <f aca="false">SUMIFS(Daily_Performance!$G$2:$G$1311,Daily_Performance!$B$2:$B$1311,A3)</f>
        <v>1799600</v>
      </c>
      <c r="N3" s="36" t="n">
        <f aca="false">IFERROR(J3/I3,0)</f>
        <v>0.0328858701329142</v>
      </c>
      <c r="O3" s="37" t="n">
        <f aca="false">IFERROR(H3/J3,0)</f>
        <v>10.6448713975829</v>
      </c>
      <c r="P3" s="35" t="n">
        <f aca="false">IFERROR(H3/K3,0)</f>
        <v>270.48031496063</v>
      </c>
      <c r="Q3" s="35" t="n">
        <f aca="false">IFERROR(H3/L3,0)</f>
        <v>235.280821917808</v>
      </c>
      <c r="R3" s="38" t="n">
        <f aca="false">IFERROR(M3/H3,0)</f>
        <v>13.0971441879421</v>
      </c>
      <c r="S3" s="36" t="n">
        <f aca="false">IFERROR(L3/J3,0)</f>
        <v>0.0452432599938023</v>
      </c>
      <c r="T3" s="39" t="n">
        <f aca="false">IFERROR(H3/G3,0)</f>
        <v>0.981457142857143</v>
      </c>
      <c r="U3" s="28" t="str">
        <f aca="false">IF(D3="Awareness","Review (awareness)",IF(R3&gt;=Assumptions!$B$7,"Scale",IF(R3&gt;=Assumptions!$B$8,"Optimise","Pause / Rework")))</f>
        <v>Scale</v>
      </c>
      <c r="V3" s="28" t="n">
        <f aca="false">IF(D3="Awareness","",COUNTIFS($D$2:$D$31,"&lt;&gt;Awareness",$R$2:$R$31,"&gt;"&amp;R3)+COUNTIFS($D$2:D3,"&lt;&gt;Awareness",$R$2:R3,R3))</f>
        <v>3</v>
      </c>
    </row>
    <row r="4" customFormat="false" ht="15" hidden="false" customHeight="false" outlineLevel="0" collapsed="false">
      <c r="A4" s="28" t="s">
        <v>110</v>
      </c>
      <c r="B4" s="28" t="s">
        <v>111</v>
      </c>
      <c r="C4" s="28" t="s">
        <v>55</v>
      </c>
      <c r="D4" s="28" t="s">
        <v>99</v>
      </c>
      <c r="E4" s="34" t="n">
        <v>46253</v>
      </c>
      <c r="F4" s="34" t="n">
        <v>46286</v>
      </c>
      <c r="G4" s="35" t="n">
        <v>365000</v>
      </c>
      <c r="H4" s="35" t="n">
        <f aca="false">SUMIFS(Daily_Performance!$H$2:$H$1311,Daily_Performance!$B$2:$B$1311,A4)</f>
        <v>289426</v>
      </c>
      <c r="I4" s="35" t="n">
        <f aca="false">SUMIFS(Daily_Performance!$C$2:$C$1311,Daily_Performance!$B$2:$B$1311,A4)</f>
        <v>481039</v>
      </c>
      <c r="J4" s="35" t="n">
        <f aca="false">SUMIFS(Daily_Performance!$D$2:$D$1311,Daily_Performance!$B$2:$B$1311,A4)</f>
        <v>4658</v>
      </c>
      <c r="K4" s="35" t="n">
        <f aca="false">SUMIFS(Daily_Performance!$E$2:$E$1311,Daily_Performance!$B$2:$B$1311,A4)</f>
        <v>638</v>
      </c>
      <c r="L4" s="35" t="n">
        <f aca="false">SUMIFS(Daily_Performance!$F$2:$F$1311,Daily_Performance!$B$2:$B$1311,A4)</f>
        <v>69</v>
      </c>
      <c r="M4" s="35" t="n">
        <f aca="false">SUMIFS(Daily_Performance!$G$2:$G$1311,Daily_Performance!$B$2:$B$1311,A4)</f>
        <v>229930</v>
      </c>
      <c r="N4" s="36" t="n">
        <f aca="false">IFERROR(J4/I4,0)</f>
        <v>0.00968320655913554</v>
      </c>
      <c r="O4" s="37" t="n">
        <f aca="false">IFERROR(H4/J4,0)</f>
        <v>62.1352511807643</v>
      </c>
      <c r="P4" s="35" t="n">
        <f aca="false">IFERROR(H4/K4,0)</f>
        <v>453.645768025078</v>
      </c>
      <c r="Q4" s="35" t="n">
        <f aca="false">IFERROR(H4/L4,0)</f>
        <v>4194.57971014493</v>
      </c>
      <c r="R4" s="38" t="n">
        <f aca="false">IFERROR(M4/H4,0)</f>
        <v>0.794434501392411</v>
      </c>
      <c r="S4" s="36" t="n">
        <f aca="false">IFERROR(L4/J4,0)</f>
        <v>0.014813224559897</v>
      </c>
      <c r="T4" s="39" t="n">
        <f aca="false">IFERROR(H4/G4,0)</f>
        <v>0.792947945205479</v>
      </c>
      <c r="U4" s="28" t="str">
        <f aca="false">IF(D4="Awareness","Review (awareness)",IF(R4&gt;=Assumptions!$B$7,"Scale",IF(R4&gt;=Assumptions!$B$8,"Optimise","Pause / Rework")))</f>
        <v>Pause / Rework</v>
      </c>
      <c r="V4" s="28" t="n">
        <f aca="false">IF(D4="Awareness","",COUNTIFS($D$2:$D$31,"&lt;&gt;Awareness",$R$2:$R$31,"&gt;"&amp;R4)+COUNTIFS($D$2:D4,"&lt;&gt;Awareness",$R$2:R4,R4))</f>
        <v>25</v>
      </c>
    </row>
    <row r="5" customFormat="false" ht="15" hidden="false" customHeight="false" outlineLevel="0" collapsed="false">
      <c r="A5" s="28" t="s">
        <v>112</v>
      </c>
      <c r="B5" s="28" t="s">
        <v>113</v>
      </c>
      <c r="C5" s="28" t="s">
        <v>54</v>
      </c>
      <c r="D5" s="28" t="s">
        <v>107</v>
      </c>
      <c r="E5" s="34" t="n">
        <v>46217</v>
      </c>
      <c r="F5" s="34" t="n">
        <v>46244</v>
      </c>
      <c r="G5" s="35" t="n">
        <v>40000</v>
      </c>
      <c r="H5" s="35" t="n">
        <f aca="false">SUMIFS(Daily_Performance!$H$2:$H$1311,Daily_Performance!$B$2:$B$1311,A5)</f>
        <v>41887</v>
      </c>
      <c r="I5" s="35" t="n">
        <f aca="false">SUMIFS(Daily_Performance!$C$2:$C$1311,Daily_Performance!$B$2:$B$1311,A5)</f>
        <v>30193</v>
      </c>
      <c r="J5" s="35" t="n">
        <f aca="false">SUMIFS(Daily_Performance!$D$2:$D$1311,Daily_Performance!$B$2:$B$1311,A5)</f>
        <v>1764</v>
      </c>
      <c r="K5" s="35" t="n">
        <f aca="false">SUMIFS(Daily_Performance!$E$2:$E$1311,Daily_Performance!$B$2:$B$1311,A5)</f>
        <v>69</v>
      </c>
      <c r="L5" s="35" t="n">
        <f aca="false">SUMIFS(Daily_Performance!$F$2:$F$1311,Daily_Performance!$B$2:$B$1311,A5)</f>
        <v>62</v>
      </c>
      <c r="M5" s="35" t="n">
        <f aca="false">SUMIFS(Daily_Performance!$G$2:$G$1311,Daily_Performance!$B$2:$B$1311,A5)</f>
        <v>162970</v>
      </c>
      <c r="N5" s="36" t="n">
        <f aca="false">IFERROR(J5/I5,0)</f>
        <v>0.0584241380452423</v>
      </c>
      <c r="O5" s="37" t="n">
        <f aca="false">IFERROR(H5/J5,0)</f>
        <v>23.7454648526077</v>
      </c>
      <c r="P5" s="35" t="n">
        <f aca="false">IFERROR(H5/K5,0)</f>
        <v>607.057971014493</v>
      </c>
      <c r="Q5" s="35" t="n">
        <f aca="false">IFERROR(H5/L5,0)</f>
        <v>675.596774193548</v>
      </c>
      <c r="R5" s="38" t="n">
        <f aca="false">IFERROR(M5/H5,0)</f>
        <v>3.89070594695252</v>
      </c>
      <c r="S5" s="36" t="n">
        <f aca="false">IFERROR(L5/J5,0)</f>
        <v>0.0351473922902494</v>
      </c>
      <c r="T5" s="39" t="n">
        <f aca="false">IFERROR(H5/G5,0)</f>
        <v>1.047175</v>
      </c>
      <c r="U5" s="28" t="str">
        <f aca="false">IF(D5="Awareness","Review (awareness)",IF(R5&gt;=Assumptions!$B$7,"Scale",IF(R5&gt;=Assumptions!$B$8,"Optimise","Pause / Rework")))</f>
        <v>Optimise</v>
      </c>
      <c r="V5" s="28" t="n">
        <f aca="false">IF(D5="Awareness","",COUNTIFS($D$2:$D$31,"&lt;&gt;Awareness",$R$2:$R$31,"&gt;"&amp;R5)+COUNTIFS($D$2:D5,"&lt;&gt;Awareness",$R$2:R5,R5))</f>
        <v>13</v>
      </c>
    </row>
    <row r="6" customFormat="false" ht="15" hidden="false" customHeight="false" outlineLevel="0" collapsed="false">
      <c r="A6" s="28" t="s">
        <v>114</v>
      </c>
      <c r="B6" s="28" t="s">
        <v>115</v>
      </c>
      <c r="C6" s="28" t="s">
        <v>54</v>
      </c>
      <c r="D6" s="28" t="s">
        <v>107</v>
      </c>
      <c r="E6" s="34" t="n">
        <v>46226</v>
      </c>
      <c r="F6" s="34" t="n">
        <v>46284</v>
      </c>
      <c r="G6" s="35" t="n">
        <v>70000</v>
      </c>
      <c r="H6" s="35" t="n">
        <f aca="false">SUMIFS(Daily_Performance!$H$2:$H$1311,Daily_Performance!$B$2:$B$1311,A6)</f>
        <v>60258</v>
      </c>
      <c r="I6" s="35" t="n">
        <f aca="false">SUMIFS(Daily_Performance!$C$2:$C$1311,Daily_Performance!$B$2:$B$1311,A6)</f>
        <v>42789</v>
      </c>
      <c r="J6" s="35" t="n">
        <f aca="false">SUMIFS(Daily_Performance!$D$2:$D$1311,Daily_Performance!$B$2:$B$1311,A6)</f>
        <v>2521</v>
      </c>
      <c r="K6" s="35" t="n">
        <f aca="false">SUMIFS(Daily_Performance!$E$2:$E$1311,Daily_Performance!$B$2:$B$1311,A6)</f>
        <v>87</v>
      </c>
      <c r="L6" s="35" t="n">
        <f aca="false">SUMIFS(Daily_Performance!$F$2:$F$1311,Daily_Performance!$B$2:$B$1311,A6)</f>
        <v>132</v>
      </c>
      <c r="M6" s="35" t="n">
        <f aca="false">SUMIFS(Daily_Performance!$G$2:$G$1311,Daily_Performance!$B$2:$B$1311,A6)</f>
        <v>377580</v>
      </c>
      <c r="N6" s="36" t="n">
        <f aca="false">IFERROR(J6/I6,0)</f>
        <v>0.0589170113814298</v>
      </c>
      <c r="O6" s="37" t="n">
        <f aca="false">IFERROR(H6/J6,0)</f>
        <v>23.9024196747323</v>
      </c>
      <c r="P6" s="35" t="n">
        <f aca="false">IFERROR(H6/K6,0)</f>
        <v>692.620689655172</v>
      </c>
      <c r="Q6" s="35" t="n">
        <f aca="false">IFERROR(H6/L6,0)</f>
        <v>456.5</v>
      </c>
      <c r="R6" s="38" t="n">
        <f aca="false">IFERROR(M6/H6,0)</f>
        <v>6.26605595937469</v>
      </c>
      <c r="S6" s="36" t="n">
        <f aca="false">IFERROR(L6/J6,0)</f>
        <v>0.0523601745339151</v>
      </c>
      <c r="T6" s="39" t="n">
        <f aca="false">IFERROR(H6/G6,0)</f>
        <v>0.860828571428571</v>
      </c>
      <c r="U6" s="28" t="str">
        <f aca="false">IF(D6="Awareness","Review (awareness)",IF(R6&gt;=Assumptions!$B$7,"Scale",IF(R6&gt;=Assumptions!$B$8,"Optimise","Pause / Rework")))</f>
        <v>Scale</v>
      </c>
      <c r="V6" s="28" t="n">
        <f aca="false">IF(D6="Awareness","",COUNTIFS($D$2:$D$31,"&lt;&gt;Awareness",$R$2:$R$31,"&gt;"&amp;R6)+COUNTIFS($D$2:D6,"&lt;&gt;Awareness",$R$2:R6,R6))</f>
        <v>11</v>
      </c>
    </row>
    <row r="7" customFormat="false" ht="15" hidden="false" customHeight="false" outlineLevel="0" collapsed="false">
      <c r="A7" s="28" t="s">
        <v>116</v>
      </c>
      <c r="B7" s="28" t="s">
        <v>117</v>
      </c>
      <c r="C7" s="28" t="s">
        <v>50</v>
      </c>
      <c r="D7" s="28" t="s">
        <v>107</v>
      </c>
      <c r="E7" s="34" t="n">
        <v>46226</v>
      </c>
      <c r="F7" s="34" t="n">
        <v>46283</v>
      </c>
      <c r="G7" s="35" t="n">
        <v>310000</v>
      </c>
      <c r="H7" s="35" t="n">
        <f aca="false">SUMIFS(Daily_Performance!$H$2:$H$1311,Daily_Performance!$B$2:$B$1311,A7)</f>
        <v>333608</v>
      </c>
      <c r="I7" s="35" t="n">
        <f aca="false">SUMIFS(Daily_Performance!$C$2:$C$1311,Daily_Performance!$B$2:$B$1311,A7)</f>
        <v>1339560</v>
      </c>
      <c r="J7" s="35" t="n">
        <f aca="false">SUMIFS(Daily_Performance!$D$2:$D$1311,Daily_Performance!$B$2:$B$1311,A7)</f>
        <v>15869</v>
      </c>
      <c r="K7" s="35" t="n">
        <f aca="false">SUMIFS(Daily_Performance!$E$2:$E$1311,Daily_Performance!$B$2:$B$1311,A7)</f>
        <v>623</v>
      </c>
      <c r="L7" s="35" t="n">
        <f aca="false">SUMIFS(Daily_Performance!$F$2:$F$1311,Daily_Performance!$B$2:$B$1311,A7)</f>
        <v>245</v>
      </c>
      <c r="M7" s="35" t="n">
        <f aca="false">SUMIFS(Daily_Performance!$G$2:$G$1311,Daily_Performance!$B$2:$B$1311,A7)</f>
        <v>789500</v>
      </c>
      <c r="N7" s="36" t="n">
        <f aca="false">IFERROR(J7/I7,0)</f>
        <v>0.0118464271850458</v>
      </c>
      <c r="O7" s="37" t="n">
        <f aca="false">IFERROR(H7/J7,0)</f>
        <v>21.0226227235491</v>
      </c>
      <c r="P7" s="35" t="n">
        <f aca="false">IFERROR(H7/K7,0)</f>
        <v>535.486356340289</v>
      </c>
      <c r="Q7" s="35" t="n">
        <f aca="false">IFERROR(H7/L7,0)</f>
        <v>1361.66530612245</v>
      </c>
      <c r="R7" s="38" t="n">
        <f aca="false">IFERROR(M7/H7,0)</f>
        <v>2.36654996283063</v>
      </c>
      <c r="S7" s="36" t="n">
        <f aca="false">IFERROR(L7/J7,0)</f>
        <v>0.0154389060432289</v>
      </c>
      <c r="T7" s="39" t="n">
        <f aca="false">IFERROR(H7/G7,0)</f>
        <v>1.07615483870968</v>
      </c>
      <c r="U7" s="28" t="str">
        <f aca="false">IF(D7="Awareness","Review (awareness)",IF(R7&gt;=Assumptions!$B$7,"Scale",IF(R7&gt;=Assumptions!$B$8,"Optimise","Pause / Rework")))</f>
        <v>Optimise</v>
      </c>
      <c r="V7" s="28" t="n">
        <f aca="false">IF(D7="Awareness","",COUNTIFS($D$2:$D$31,"&lt;&gt;Awareness",$R$2:$R$31,"&gt;"&amp;R7)+COUNTIFS($D$2:D7,"&lt;&gt;Awareness",$R$2:R7,R7))</f>
        <v>18</v>
      </c>
    </row>
    <row r="8" customFormat="false" ht="15" hidden="false" customHeight="false" outlineLevel="0" collapsed="false">
      <c r="A8" s="28" t="s">
        <v>118</v>
      </c>
      <c r="B8" s="28" t="s">
        <v>119</v>
      </c>
      <c r="C8" s="28" t="s">
        <v>51</v>
      </c>
      <c r="D8" s="28" t="s">
        <v>107</v>
      </c>
      <c r="E8" s="34" t="n">
        <v>46231</v>
      </c>
      <c r="F8" s="34" t="n">
        <v>46295</v>
      </c>
      <c r="G8" s="35" t="n">
        <v>195000</v>
      </c>
      <c r="H8" s="35" t="n">
        <f aca="false">SUMIFS(Daily_Performance!$H$2:$H$1311,Daily_Performance!$B$2:$B$1311,A8)</f>
        <v>168077</v>
      </c>
      <c r="I8" s="35" t="n">
        <f aca="false">SUMIFS(Daily_Performance!$C$2:$C$1311,Daily_Performance!$B$2:$B$1311,A8)</f>
        <v>187625</v>
      </c>
      <c r="J8" s="35" t="n">
        <f aca="false">SUMIFS(Daily_Performance!$D$2:$D$1311,Daily_Performance!$B$2:$B$1311,A8)</f>
        <v>9509</v>
      </c>
      <c r="K8" s="35" t="n">
        <f aca="false">SUMIFS(Daily_Performance!$E$2:$E$1311,Daily_Performance!$B$2:$B$1311,A8)</f>
        <v>366</v>
      </c>
      <c r="L8" s="35" t="n">
        <f aca="false">SUMIFS(Daily_Performance!$F$2:$F$1311,Daily_Performance!$B$2:$B$1311,A8)</f>
        <v>488</v>
      </c>
      <c r="M8" s="35" t="n">
        <f aca="false">SUMIFS(Daily_Performance!$G$2:$G$1311,Daily_Performance!$B$2:$B$1311,A8)</f>
        <v>1828740</v>
      </c>
      <c r="N8" s="36" t="n">
        <f aca="false">IFERROR(J8/I8,0)</f>
        <v>0.0506808794137242</v>
      </c>
      <c r="O8" s="37" t="n">
        <f aca="false">IFERROR(H8/J8,0)</f>
        <v>17.6755705121464</v>
      </c>
      <c r="P8" s="35" t="n">
        <f aca="false">IFERROR(H8/K8,0)</f>
        <v>459.226775956284</v>
      </c>
      <c r="Q8" s="35" t="n">
        <f aca="false">IFERROR(H8/L8,0)</f>
        <v>344.420081967213</v>
      </c>
      <c r="R8" s="38" t="n">
        <f aca="false">IFERROR(M8/H8,0)</f>
        <v>10.8803703064667</v>
      </c>
      <c r="S8" s="36" t="n">
        <f aca="false">IFERROR(L8/J8,0)</f>
        <v>0.0513198022925649</v>
      </c>
      <c r="T8" s="39" t="n">
        <f aca="false">IFERROR(H8/G8,0)</f>
        <v>0.861933333333333</v>
      </c>
      <c r="U8" s="28" t="str">
        <f aca="false">IF(D8="Awareness","Review (awareness)",IF(R8&gt;=Assumptions!$B$7,"Scale",IF(R8&gt;=Assumptions!$B$8,"Optimise","Pause / Rework")))</f>
        <v>Scale</v>
      </c>
      <c r="V8" s="28" t="n">
        <f aca="false">IF(D8="Awareness","",COUNTIFS($D$2:$D$31,"&lt;&gt;Awareness",$R$2:$R$31,"&gt;"&amp;R8)+COUNTIFS($D$2:D8,"&lt;&gt;Awareness",$R$2:R8,R8))</f>
        <v>7</v>
      </c>
    </row>
    <row r="9" customFormat="false" ht="15" hidden="false" customHeight="false" outlineLevel="0" collapsed="false">
      <c r="A9" s="28" t="s">
        <v>120</v>
      </c>
      <c r="B9" s="28" t="s">
        <v>121</v>
      </c>
      <c r="C9" s="28" t="s">
        <v>52</v>
      </c>
      <c r="D9" s="28" t="s">
        <v>107</v>
      </c>
      <c r="E9" s="34" t="n">
        <v>46209</v>
      </c>
      <c r="F9" s="34" t="n">
        <v>46235</v>
      </c>
      <c r="G9" s="35" t="n">
        <v>460000</v>
      </c>
      <c r="H9" s="35" t="n">
        <f aca="false">SUMIFS(Daily_Performance!$H$2:$H$1311,Daily_Performance!$B$2:$B$1311,A9)</f>
        <v>382645</v>
      </c>
      <c r="I9" s="35" t="n">
        <f aca="false">SUMIFS(Daily_Performance!$C$2:$C$1311,Daily_Performance!$B$2:$B$1311,A9)</f>
        <v>2148360</v>
      </c>
      <c r="J9" s="35" t="n">
        <f aca="false">SUMIFS(Daily_Performance!$D$2:$D$1311,Daily_Performance!$B$2:$B$1311,A9)</f>
        <v>16749</v>
      </c>
      <c r="K9" s="35" t="n">
        <f aca="false">SUMIFS(Daily_Performance!$E$2:$E$1311,Daily_Performance!$B$2:$B$1311,A9)</f>
        <v>686</v>
      </c>
      <c r="L9" s="35" t="n">
        <f aca="false">SUMIFS(Daily_Performance!$F$2:$F$1311,Daily_Performance!$B$2:$B$1311,A9)</f>
        <v>148</v>
      </c>
      <c r="M9" s="35" t="n">
        <f aca="false">SUMIFS(Daily_Performance!$G$2:$G$1311,Daily_Performance!$B$2:$B$1311,A9)</f>
        <v>409810</v>
      </c>
      <c r="N9" s="36" t="n">
        <f aca="false">IFERROR(J9/I9,0)</f>
        <v>0.00779617941127185</v>
      </c>
      <c r="O9" s="37" t="n">
        <f aca="false">IFERROR(H9/J9,0)</f>
        <v>22.8458415427787</v>
      </c>
      <c r="P9" s="35" t="n">
        <f aca="false">IFERROR(H9/K9,0)</f>
        <v>557.791545189504</v>
      </c>
      <c r="Q9" s="35" t="n">
        <f aca="false">IFERROR(H9/L9,0)</f>
        <v>2585.43918918919</v>
      </c>
      <c r="R9" s="38" t="n">
        <f aca="false">IFERROR(M9/H9,0)</f>
        <v>1.07099269557945</v>
      </c>
      <c r="S9" s="36" t="n">
        <f aca="false">IFERROR(L9/J9,0)</f>
        <v>0.00883634843871276</v>
      </c>
      <c r="T9" s="39" t="n">
        <f aca="false">IFERROR(H9/G9,0)</f>
        <v>0.831836956521739</v>
      </c>
      <c r="U9" s="28" t="str">
        <f aca="false">IF(D9="Awareness","Review (awareness)",IF(R9&gt;=Assumptions!$B$7,"Scale",IF(R9&gt;=Assumptions!$B$8,"Optimise","Pause / Rework")))</f>
        <v>Pause / Rework</v>
      </c>
      <c r="V9" s="28" t="n">
        <f aca="false">IF(D9="Awareness","",COUNTIFS($D$2:$D$31,"&lt;&gt;Awareness",$R$2:$R$31,"&gt;"&amp;R9)+COUNTIFS($D$2:D9,"&lt;&gt;Awareness",$R$2:R9,R9))</f>
        <v>21</v>
      </c>
    </row>
    <row r="10" customFormat="false" ht="15" hidden="false" customHeight="false" outlineLevel="0" collapsed="false">
      <c r="A10" s="28" t="s">
        <v>122</v>
      </c>
      <c r="B10" s="28" t="s">
        <v>123</v>
      </c>
      <c r="C10" s="28" t="s">
        <v>52</v>
      </c>
      <c r="D10" s="28" t="s">
        <v>107</v>
      </c>
      <c r="E10" s="34" t="n">
        <v>46224</v>
      </c>
      <c r="F10" s="34" t="n">
        <v>46244</v>
      </c>
      <c r="G10" s="35" t="n">
        <v>515000</v>
      </c>
      <c r="H10" s="35" t="n">
        <f aca="false">SUMIFS(Daily_Performance!$H$2:$H$1311,Daily_Performance!$B$2:$B$1311,A10)</f>
        <v>492207</v>
      </c>
      <c r="I10" s="35" t="n">
        <f aca="false">SUMIFS(Daily_Performance!$C$2:$C$1311,Daily_Performance!$B$2:$B$1311,A10)</f>
        <v>2729098</v>
      </c>
      <c r="J10" s="35" t="n">
        <f aca="false">SUMIFS(Daily_Performance!$D$2:$D$1311,Daily_Performance!$B$2:$B$1311,A10)</f>
        <v>21798</v>
      </c>
      <c r="K10" s="35" t="n">
        <f aca="false">SUMIFS(Daily_Performance!$E$2:$E$1311,Daily_Performance!$B$2:$B$1311,A10)</f>
        <v>860</v>
      </c>
      <c r="L10" s="35" t="n">
        <f aca="false">SUMIFS(Daily_Performance!$F$2:$F$1311,Daily_Performance!$B$2:$B$1311,A10)</f>
        <v>177</v>
      </c>
      <c r="M10" s="35" t="n">
        <f aca="false">SUMIFS(Daily_Performance!$G$2:$G$1311,Daily_Performance!$B$2:$B$1311,A10)</f>
        <v>461650</v>
      </c>
      <c r="N10" s="36" t="n">
        <f aca="false">IFERROR(J10/I10,0)</f>
        <v>0.00798725439687399</v>
      </c>
      <c r="O10" s="37" t="n">
        <f aca="false">IFERROR(H10/J10,0)</f>
        <v>22.5803743462703</v>
      </c>
      <c r="P10" s="35" t="n">
        <f aca="false">IFERROR(H10/K10,0)</f>
        <v>572.333720930233</v>
      </c>
      <c r="Q10" s="35" t="n">
        <f aca="false">IFERROR(H10/L10,0)</f>
        <v>2780.83050847458</v>
      </c>
      <c r="R10" s="38" t="n">
        <f aca="false">IFERROR(M10/H10,0)</f>
        <v>0.937918396121957</v>
      </c>
      <c r="S10" s="36" t="n">
        <f aca="false">IFERROR(L10/J10,0)</f>
        <v>0.00812001101018442</v>
      </c>
      <c r="T10" s="39" t="n">
        <f aca="false">IFERROR(H10/G10,0)</f>
        <v>0.955741747572816</v>
      </c>
      <c r="U10" s="28" t="str">
        <f aca="false">IF(D10="Awareness","Review (awareness)",IF(R10&gt;=Assumptions!$B$7,"Scale",IF(R10&gt;=Assumptions!$B$8,"Optimise","Pause / Rework")))</f>
        <v>Pause / Rework</v>
      </c>
      <c r="V10" s="28" t="n">
        <f aca="false">IF(D10="Awareness","",COUNTIFS($D$2:$D$31,"&lt;&gt;Awareness",$R$2:$R$31,"&gt;"&amp;R10)+COUNTIFS($D$2:D10,"&lt;&gt;Awareness",$R$2:R10,R10))</f>
        <v>22</v>
      </c>
    </row>
    <row r="11" customFormat="false" ht="15" hidden="false" customHeight="false" outlineLevel="0" collapsed="false">
      <c r="A11" s="28" t="s">
        <v>124</v>
      </c>
      <c r="B11" s="28" t="s">
        <v>125</v>
      </c>
      <c r="C11" s="28" t="s">
        <v>53</v>
      </c>
      <c r="D11" s="28" t="s">
        <v>107</v>
      </c>
      <c r="E11" s="34" t="n">
        <v>46216</v>
      </c>
      <c r="F11" s="34" t="n">
        <v>46283</v>
      </c>
      <c r="G11" s="35" t="n">
        <v>165000</v>
      </c>
      <c r="H11" s="35" t="n">
        <f aca="false">SUMIFS(Daily_Performance!$H$2:$H$1311,Daily_Performance!$B$2:$B$1311,A11)</f>
        <v>175965</v>
      </c>
      <c r="I11" s="35" t="n">
        <f aca="false">SUMIFS(Daily_Performance!$C$2:$C$1311,Daily_Performance!$B$2:$B$1311,A11)</f>
        <v>497449</v>
      </c>
      <c r="J11" s="35" t="n">
        <f aca="false">SUMIFS(Daily_Performance!$D$2:$D$1311,Daily_Performance!$B$2:$B$1311,A11)</f>
        <v>11171</v>
      </c>
      <c r="K11" s="35" t="n">
        <f aca="false">SUMIFS(Daily_Performance!$E$2:$E$1311,Daily_Performance!$B$2:$B$1311,A11)</f>
        <v>479</v>
      </c>
      <c r="L11" s="35" t="n">
        <f aca="false">SUMIFS(Daily_Performance!$F$2:$F$1311,Daily_Performance!$B$2:$B$1311,A11)</f>
        <v>214</v>
      </c>
      <c r="M11" s="35" t="n">
        <f aca="false">SUMIFS(Daily_Performance!$G$2:$G$1311,Daily_Performance!$B$2:$B$1311,A11)</f>
        <v>646040</v>
      </c>
      <c r="N11" s="36" t="n">
        <f aca="false">IFERROR(J11/I11,0)</f>
        <v>0.022456573437679</v>
      </c>
      <c r="O11" s="37" t="n">
        <f aca="false">IFERROR(H11/J11,0)</f>
        <v>15.7519470056396</v>
      </c>
      <c r="P11" s="35" t="n">
        <f aca="false">IFERROR(H11/K11,0)</f>
        <v>367.359081419624</v>
      </c>
      <c r="Q11" s="35" t="n">
        <f aca="false">IFERROR(H11/L11,0)</f>
        <v>822.266355140187</v>
      </c>
      <c r="R11" s="38" t="n">
        <f aca="false">IFERROR(M11/H11,0)</f>
        <v>3.67141192850851</v>
      </c>
      <c r="S11" s="36" t="n">
        <f aca="false">IFERROR(L11/J11,0)</f>
        <v>0.0191567451436756</v>
      </c>
      <c r="T11" s="39" t="n">
        <f aca="false">IFERROR(H11/G11,0)</f>
        <v>1.06645454545455</v>
      </c>
      <c r="U11" s="28" t="str">
        <f aca="false">IF(D11="Awareness","Review (awareness)",IF(R11&gt;=Assumptions!$B$7,"Scale",IF(R11&gt;=Assumptions!$B$8,"Optimise","Pause / Rework")))</f>
        <v>Optimise</v>
      </c>
      <c r="V11" s="28" t="n">
        <f aca="false">IF(D11="Awareness","",COUNTIFS($D$2:$D$31,"&lt;&gt;Awareness",$R$2:$R$31,"&gt;"&amp;R11)+COUNTIFS($D$2:D11,"&lt;&gt;Awareness",$R$2:R11,R11))</f>
        <v>14</v>
      </c>
    </row>
    <row r="12" customFormat="false" ht="15" hidden="false" customHeight="false" outlineLevel="0" collapsed="false">
      <c r="A12" s="28" t="s">
        <v>126</v>
      </c>
      <c r="B12" s="28" t="s">
        <v>127</v>
      </c>
      <c r="C12" s="28" t="s">
        <v>52</v>
      </c>
      <c r="D12" s="28" t="s">
        <v>107</v>
      </c>
      <c r="E12" s="34" t="n">
        <v>46224</v>
      </c>
      <c r="F12" s="34" t="n">
        <v>46266</v>
      </c>
      <c r="G12" s="35" t="n">
        <v>125000</v>
      </c>
      <c r="H12" s="35" t="n">
        <f aca="false">SUMIFS(Daily_Performance!$H$2:$H$1311,Daily_Performance!$B$2:$B$1311,A12)</f>
        <v>117670</v>
      </c>
      <c r="I12" s="35" t="n">
        <f aca="false">SUMIFS(Daily_Performance!$C$2:$C$1311,Daily_Performance!$B$2:$B$1311,A12)</f>
        <v>656952</v>
      </c>
      <c r="J12" s="35" t="n">
        <f aca="false">SUMIFS(Daily_Performance!$D$2:$D$1311,Daily_Performance!$B$2:$B$1311,A12)</f>
        <v>4346</v>
      </c>
      <c r="K12" s="35" t="n">
        <f aca="false">SUMIFS(Daily_Performance!$E$2:$E$1311,Daily_Performance!$B$2:$B$1311,A12)</f>
        <v>167</v>
      </c>
      <c r="L12" s="35" t="n">
        <f aca="false">SUMIFS(Daily_Performance!$F$2:$F$1311,Daily_Performance!$B$2:$B$1311,A12)</f>
        <v>32</v>
      </c>
      <c r="M12" s="35" t="n">
        <f aca="false">SUMIFS(Daily_Performance!$G$2:$G$1311,Daily_Performance!$B$2:$B$1311,A12)</f>
        <v>86440</v>
      </c>
      <c r="N12" s="36" t="n">
        <f aca="false">IFERROR(J12/I12,0)</f>
        <v>0.00661539960301514</v>
      </c>
      <c r="O12" s="37" t="n">
        <f aca="false">IFERROR(H12/J12,0)</f>
        <v>27.0754716981132</v>
      </c>
      <c r="P12" s="35" t="n">
        <f aca="false">IFERROR(H12/K12,0)</f>
        <v>704.610778443114</v>
      </c>
      <c r="Q12" s="35" t="n">
        <f aca="false">IFERROR(H12/L12,0)</f>
        <v>3677.1875</v>
      </c>
      <c r="R12" s="38" t="n">
        <f aca="false">IFERROR(M12/H12,0)</f>
        <v>0.734596753633042</v>
      </c>
      <c r="S12" s="36" t="n">
        <f aca="false">IFERROR(L12/J12,0)</f>
        <v>0.00736309249884952</v>
      </c>
      <c r="T12" s="39" t="n">
        <f aca="false">IFERROR(H12/G12,0)</f>
        <v>0.94136</v>
      </c>
      <c r="U12" s="28" t="str">
        <f aca="false">IF(D12="Awareness","Review (awareness)",IF(R12&gt;=Assumptions!$B$7,"Scale",IF(R12&gt;=Assumptions!$B$8,"Optimise","Pause / Rework")))</f>
        <v>Pause / Rework</v>
      </c>
      <c r="V12" s="28" t="n">
        <f aca="false">IF(D12="Awareness","",COUNTIFS($D$2:$D$31,"&lt;&gt;Awareness",$R$2:$R$31,"&gt;"&amp;R12)+COUNTIFS($D$2:D12,"&lt;&gt;Awareness",$R$2:R12,R12))</f>
        <v>26</v>
      </c>
    </row>
    <row r="13" customFormat="false" ht="15" hidden="false" customHeight="false" outlineLevel="0" collapsed="false">
      <c r="A13" s="28" t="s">
        <v>128</v>
      </c>
      <c r="B13" s="28" t="s">
        <v>129</v>
      </c>
      <c r="C13" s="28" t="s">
        <v>51</v>
      </c>
      <c r="D13" s="28" t="s">
        <v>107</v>
      </c>
      <c r="E13" s="34" t="n">
        <v>46221</v>
      </c>
      <c r="F13" s="34" t="n">
        <v>46244</v>
      </c>
      <c r="G13" s="35" t="n">
        <v>565000</v>
      </c>
      <c r="H13" s="35" t="n">
        <f aca="false">SUMIFS(Daily_Performance!$H$2:$H$1311,Daily_Performance!$B$2:$B$1311,A13)</f>
        <v>505878</v>
      </c>
      <c r="I13" s="35" t="n">
        <f aca="false">SUMIFS(Daily_Performance!$C$2:$C$1311,Daily_Performance!$B$2:$B$1311,A13)</f>
        <v>563241</v>
      </c>
      <c r="J13" s="35" t="n">
        <f aca="false">SUMIFS(Daily_Performance!$D$2:$D$1311,Daily_Performance!$B$2:$B$1311,A13)</f>
        <v>32192</v>
      </c>
      <c r="K13" s="35" t="n">
        <f aca="false">SUMIFS(Daily_Performance!$E$2:$E$1311,Daily_Performance!$B$2:$B$1311,A13)</f>
        <v>1274</v>
      </c>
      <c r="L13" s="35" t="n">
        <f aca="false">SUMIFS(Daily_Performance!$F$2:$F$1311,Daily_Performance!$B$2:$B$1311,A13)</f>
        <v>2015</v>
      </c>
      <c r="M13" s="35" t="n">
        <f aca="false">SUMIFS(Daily_Performance!$G$2:$G$1311,Daily_Performance!$B$2:$B$1311,A13)</f>
        <v>7458220</v>
      </c>
      <c r="N13" s="36" t="n">
        <f aca="false">IFERROR(J13/I13,0)</f>
        <v>0.0571549301276008</v>
      </c>
      <c r="O13" s="37" t="n">
        <f aca="false">IFERROR(H13/J13,0)</f>
        <v>15.7144010934394</v>
      </c>
      <c r="P13" s="35" t="n">
        <f aca="false">IFERROR(H13/K13,0)</f>
        <v>397.078492935636</v>
      </c>
      <c r="Q13" s="35" t="n">
        <f aca="false">IFERROR(H13/L13,0)</f>
        <v>251.056079404467</v>
      </c>
      <c r="R13" s="38" t="n">
        <f aca="false">IFERROR(M13/H13,0)</f>
        <v>14.7431198826595</v>
      </c>
      <c r="S13" s="36" t="n">
        <f aca="false">IFERROR(L13/J13,0)</f>
        <v>0.0625931908548708</v>
      </c>
      <c r="T13" s="39" t="n">
        <f aca="false">IFERROR(H13/G13,0)</f>
        <v>0.895359292035398</v>
      </c>
      <c r="U13" s="28" t="str">
        <f aca="false">IF(D13="Awareness","Review (awareness)",IF(R13&gt;=Assumptions!$B$7,"Scale",IF(R13&gt;=Assumptions!$B$8,"Optimise","Pause / Rework")))</f>
        <v>Scale</v>
      </c>
      <c r="V13" s="28" t="n">
        <f aca="false">IF(D13="Awareness","",COUNTIFS($D$2:$D$31,"&lt;&gt;Awareness",$R$2:$R$31,"&gt;"&amp;R13)+COUNTIFS($D$2:D13,"&lt;&gt;Awareness",$R$2:R13,R13))</f>
        <v>2</v>
      </c>
    </row>
    <row r="14" customFormat="false" ht="15" hidden="false" customHeight="false" outlineLevel="0" collapsed="false">
      <c r="A14" s="28" t="s">
        <v>130</v>
      </c>
      <c r="B14" s="28" t="s">
        <v>131</v>
      </c>
      <c r="C14" s="28" t="s">
        <v>54</v>
      </c>
      <c r="D14" s="28" t="s">
        <v>107</v>
      </c>
      <c r="E14" s="34" t="n">
        <v>46243</v>
      </c>
      <c r="F14" s="34" t="n">
        <v>46271</v>
      </c>
      <c r="G14" s="35" t="n">
        <v>135000</v>
      </c>
      <c r="H14" s="35" t="n">
        <f aca="false">SUMIFS(Daily_Performance!$H$2:$H$1311,Daily_Performance!$B$2:$B$1311,A14)</f>
        <v>125010</v>
      </c>
      <c r="I14" s="35" t="n">
        <f aca="false">SUMIFS(Daily_Performance!$C$2:$C$1311,Daily_Performance!$B$2:$B$1311,A14)</f>
        <v>87893</v>
      </c>
      <c r="J14" s="35" t="n">
        <f aca="false">SUMIFS(Daily_Performance!$D$2:$D$1311,Daily_Performance!$B$2:$B$1311,A14)</f>
        <v>7590</v>
      </c>
      <c r="K14" s="35" t="n">
        <f aca="false">SUMIFS(Daily_Performance!$E$2:$E$1311,Daily_Performance!$B$2:$B$1311,A14)</f>
        <v>295</v>
      </c>
      <c r="L14" s="35" t="n">
        <f aca="false">SUMIFS(Daily_Performance!$F$2:$F$1311,Daily_Performance!$B$2:$B$1311,A14)</f>
        <v>844</v>
      </c>
      <c r="M14" s="35" t="n">
        <f aca="false">SUMIFS(Daily_Performance!$G$2:$G$1311,Daily_Performance!$B$2:$B$1311,A14)</f>
        <v>2448970</v>
      </c>
      <c r="N14" s="36" t="n">
        <f aca="false">IFERROR(J14/I14,0)</f>
        <v>0.086354999829338</v>
      </c>
      <c r="O14" s="37" t="n">
        <f aca="false">IFERROR(H14/J14,0)</f>
        <v>16.4703557312253</v>
      </c>
      <c r="P14" s="35" t="n">
        <f aca="false">IFERROR(H14/K14,0)</f>
        <v>423.762711864407</v>
      </c>
      <c r="Q14" s="35" t="n">
        <f aca="false">IFERROR(H14/L14,0)</f>
        <v>148.116113744076</v>
      </c>
      <c r="R14" s="38" t="n">
        <f aca="false">IFERROR(M14/H14,0)</f>
        <v>19.5901927845772</v>
      </c>
      <c r="S14" s="36" t="n">
        <f aca="false">IFERROR(L14/J14,0)</f>
        <v>0.111198945981555</v>
      </c>
      <c r="T14" s="39" t="n">
        <f aca="false">IFERROR(H14/G14,0)</f>
        <v>0.926</v>
      </c>
      <c r="U14" s="28" t="str">
        <f aca="false">IF(D14="Awareness","Review (awareness)",IF(R14&gt;=Assumptions!$B$7,"Scale",IF(R14&gt;=Assumptions!$B$8,"Optimise","Pause / Rework")))</f>
        <v>Scale</v>
      </c>
      <c r="V14" s="28" t="n">
        <f aca="false">IF(D14="Awareness","",COUNTIFS($D$2:$D$31,"&lt;&gt;Awareness",$R$2:$R$31,"&gt;"&amp;R14)+COUNTIFS($D$2:D14,"&lt;&gt;Awareness",$R$2:R14,R14))</f>
        <v>1</v>
      </c>
    </row>
    <row r="15" customFormat="false" ht="15" hidden="false" customHeight="false" outlineLevel="0" collapsed="false">
      <c r="A15" s="28" t="s">
        <v>132</v>
      </c>
      <c r="B15" s="28" t="s">
        <v>133</v>
      </c>
      <c r="C15" s="28" t="s">
        <v>50</v>
      </c>
      <c r="D15" s="28" t="s">
        <v>99</v>
      </c>
      <c r="E15" s="34" t="n">
        <v>46252</v>
      </c>
      <c r="F15" s="34" t="n">
        <v>46288</v>
      </c>
      <c r="G15" s="35" t="n">
        <v>355000</v>
      </c>
      <c r="H15" s="35" t="n">
        <f aca="false">SUMIFS(Daily_Performance!$H$2:$H$1311,Daily_Performance!$B$2:$B$1311,A15)</f>
        <v>304868</v>
      </c>
      <c r="I15" s="35" t="n">
        <f aca="false">SUMIFS(Daily_Performance!$C$2:$C$1311,Daily_Performance!$B$2:$B$1311,A15)</f>
        <v>1224430</v>
      </c>
      <c r="J15" s="35" t="n">
        <f aca="false">SUMIFS(Daily_Performance!$D$2:$D$1311,Daily_Performance!$B$2:$B$1311,A15)</f>
        <v>16056</v>
      </c>
      <c r="K15" s="35" t="n">
        <f aca="false">SUMIFS(Daily_Performance!$E$2:$E$1311,Daily_Performance!$B$2:$B$1311,A15)</f>
        <v>2227</v>
      </c>
      <c r="L15" s="35" t="n">
        <f aca="false">SUMIFS(Daily_Performance!$F$2:$F$1311,Daily_Performance!$B$2:$B$1311,A15)</f>
        <v>229</v>
      </c>
      <c r="M15" s="35" t="n">
        <f aca="false">SUMIFS(Daily_Performance!$G$2:$G$1311,Daily_Performance!$B$2:$B$1311,A15)</f>
        <v>781680</v>
      </c>
      <c r="N15" s="36" t="n">
        <f aca="false">IFERROR(J15/I15,0)</f>
        <v>0.0131130403534706</v>
      </c>
      <c r="O15" s="37" t="n">
        <f aca="false">IFERROR(H15/J15,0)</f>
        <v>18.9877927254609</v>
      </c>
      <c r="P15" s="35" t="n">
        <f aca="false">IFERROR(H15/K15,0)</f>
        <v>136.896273013022</v>
      </c>
      <c r="Q15" s="35" t="n">
        <f aca="false">IFERROR(H15/L15,0)</f>
        <v>1331.30131004367</v>
      </c>
      <c r="R15" s="38" t="n">
        <f aca="false">IFERROR(M15/H15,0)</f>
        <v>2.56399490927221</v>
      </c>
      <c r="S15" s="36" t="n">
        <f aca="false">IFERROR(L15/J15,0)</f>
        <v>0.0142625809666168</v>
      </c>
      <c r="T15" s="39" t="n">
        <f aca="false">IFERROR(H15/G15,0)</f>
        <v>0.858783098591549</v>
      </c>
      <c r="U15" s="28" t="str">
        <f aca="false">IF(D15="Awareness","Review (awareness)",IF(R15&gt;=Assumptions!$B$7,"Scale",IF(R15&gt;=Assumptions!$B$8,"Optimise","Pause / Rework")))</f>
        <v>Optimise</v>
      </c>
      <c r="V15" s="28" t="n">
        <f aca="false">IF(D15="Awareness","",COUNTIFS($D$2:$D$31,"&lt;&gt;Awareness",$R$2:$R$31,"&gt;"&amp;R15)+COUNTIFS($D$2:D15,"&lt;&gt;Awareness",$R$2:R15,R15))</f>
        <v>17</v>
      </c>
    </row>
    <row r="16" customFormat="false" ht="15" hidden="false" customHeight="false" outlineLevel="0" collapsed="false">
      <c r="A16" s="28" t="s">
        <v>134</v>
      </c>
      <c r="B16" s="28" t="s">
        <v>135</v>
      </c>
      <c r="C16" s="28" t="s">
        <v>54</v>
      </c>
      <c r="D16" s="28" t="s">
        <v>107</v>
      </c>
      <c r="E16" s="34" t="n">
        <v>46212</v>
      </c>
      <c r="F16" s="34" t="n">
        <v>46253</v>
      </c>
      <c r="G16" s="35" t="n">
        <v>165000</v>
      </c>
      <c r="H16" s="35" t="n">
        <f aca="false">SUMIFS(Daily_Performance!$H$2:$H$1311,Daily_Performance!$B$2:$B$1311,A16)</f>
        <v>136768</v>
      </c>
      <c r="I16" s="35" t="n">
        <f aca="false">SUMIFS(Daily_Performance!$C$2:$C$1311,Daily_Performance!$B$2:$B$1311,A16)</f>
        <v>99228</v>
      </c>
      <c r="J16" s="35" t="n">
        <f aca="false">SUMIFS(Daily_Performance!$D$2:$D$1311,Daily_Performance!$B$2:$B$1311,A16)</f>
        <v>6385</v>
      </c>
      <c r="K16" s="35" t="n">
        <f aca="false">SUMIFS(Daily_Performance!$E$2:$E$1311,Daily_Performance!$B$2:$B$1311,A16)</f>
        <v>281</v>
      </c>
      <c r="L16" s="35" t="n">
        <f aca="false">SUMIFS(Daily_Performance!$F$2:$F$1311,Daily_Performance!$B$2:$B$1311,A16)</f>
        <v>418</v>
      </c>
      <c r="M16" s="35" t="n">
        <f aca="false">SUMIFS(Daily_Performance!$G$2:$G$1311,Daily_Performance!$B$2:$B$1311,A16)</f>
        <v>1217320</v>
      </c>
      <c r="N16" s="36" t="n">
        <f aca="false">IFERROR(J16/I16,0)</f>
        <v>0.0643467569637602</v>
      </c>
      <c r="O16" s="37" t="n">
        <f aca="false">IFERROR(H16/J16,0)</f>
        <v>21.4202036021926</v>
      </c>
      <c r="P16" s="35" t="n">
        <f aca="false">IFERROR(H16/K16,0)</f>
        <v>486.718861209964</v>
      </c>
      <c r="Q16" s="35" t="n">
        <f aca="false">IFERROR(H16/L16,0)</f>
        <v>327.196172248804</v>
      </c>
      <c r="R16" s="38" t="n">
        <f aca="false">IFERROR(M16/H16,0)</f>
        <v>8.90062002807674</v>
      </c>
      <c r="S16" s="36" t="n">
        <f aca="false">IFERROR(L16/J16,0)</f>
        <v>0.0654659357870008</v>
      </c>
      <c r="T16" s="39" t="n">
        <f aca="false">IFERROR(H16/G16,0)</f>
        <v>0.82889696969697</v>
      </c>
      <c r="U16" s="28" t="str">
        <f aca="false">IF(D16="Awareness","Review (awareness)",IF(R16&gt;=Assumptions!$B$7,"Scale",IF(R16&gt;=Assumptions!$B$8,"Optimise","Pause / Rework")))</f>
        <v>Scale</v>
      </c>
      <c r="V16" s="28" t="n">
        <f aca="false">IF(D16="Awareness","",COUNTIFS($D$2:$D$31,"&lt;&gt;Awareness",$R$2:$R$31,"&gt;"&amp;R16)+COUNTIFS($D$2:D16,"&lt;&gt;Awareness",$R$2:R16,R16))</f>
        <v>10</v>
      </c>
    </row>
    <row r="17" customFormat="false" ht="15" hidden="false" customHeight="false" outlineLevel="0" collapsed="false">
      <c r="A17" s="28" t="s">
        <v>136</v>
      </c>
      <c r="B17" s="28" t="s">
        <v>137</v>
      </c>
      <c r="C17" s="28" t="s">
        <v>53</v>
      </c>
      <c r="D17" s="28" t="s">
        <v>107</v>
      </c>
      <c r="E17" s="34" t="n">
        <v>46224</v>
      </c>
      <c r="F17" s="34" t="n">
        <v>46256</v>
      </c>
      <c r="G17" s="35" t="n">
        <v>125000</v>
      </c>
      <c r="H17" s="35" t="n">
        <f aca="false">SUMIFS(Daily_Performance!$H$2:$H$1311,Daily_Performance!$B$2:$B$1311,A17)</f>
        <v>128065</v>
      </c>
      <c r="I17" s="35" t="n">
        <f aca="false">SUMIFS(Daily_Performance!$C$2:$C$1311,Daily_Performance!$B$2:$B$1311,A17)</f>
        <v>367057</v>
      </c>
      <c r="J17" s="35" t="n">
        <f aca="false">SUMIFS(Daily_Performance!$D$2:$D$1311,Daily_Performance!$B$2:$B$1311,A17)</f>
        <v>10565</v>
      </c>
      <c r="K17" s="35" t="n">
        <f aca="false">SUMIFS(Daily_Performance!$E$2:$E$1311,Daily_Performance!$B$2:$B$1311,A17)</f>
        <v>454</v>
      </c>
      <c r="L17" s="35" t="n">
        <f aca="false">SUMIFS(Daily_Performance!$F$2:$F$1311,Daily_Performance!$B$2:$B$1311,A17)</f>
        <v>372</v>
      </c>
      <c r="M17" s="35" t="n">
        <f aca="false">SUMIFS(Daily_Performance!$G$2:$G$1311,Daily_Performance!$B$2:$B$1311,A17)</f>
        <v>1151790</v>
      </c>
      <c r="N17" s="36" t="n">
        <f aca="false">IFERROR(J17/I17,0)</f>
        <v>0.0287829955565484</v>
      </c>
      <c r="O17" s="37" t="n">
        <f aca="false">IFERROR(H17/J17,0)</f>
        <v>12.1216280170374</v>
      </c>
      <c r="P17" s="35" t="n">
        <f aca="false">IFERROR(H17/K17,0)</f>
        <v>282.081497797357</v>
      </c>
      <c r="Q17" s="35" t="n">
        <f aca="false">IFERROR(H17/L17,0)</f>
        <v>344.260752688172</v>
      </c>
      <c r="R17" s="38" t="n">
        <f aca="false">IFERROR(M17/H17,0)</f>
        <v>8.99379221489088</v>
      </c>
      <c r="S17" s="36" t="n">
        <f aca="false">IFERROR(L17/J17,0)</f>
        <v>0.0352106010411737</v>
      </c>
      <c r="T17" s="39" t="n">
        <f aca="false">IFERROR(H17/G17,0)</f>
        <v>1.02452</v>
      </c>
      <c r="U17" s="28" t="str">
        <f aca="false">IF(D17="Awareness","Review (awareness)",IF(R17&gt;=Assumptions!$B$7,"Scale",IF(R17&gt;=Assumptions!$B$8,"Optimise","Pause / Rework")))</f>
        <v>Scale</v>
      </c>
      <c r="V17" s="28" t="n">
        <f aca="false">IF(D17="Awareness","",COUNTIFS($D$2:$D$31,"&lt;&gt;Awareness",$R$2:$R$31,"&gt;"&amp;R17)+COUNTIFS($D$2:D17,"&lt;&gt;Awareness",$R$2:R17,R17))</f>
        <v>9</v>
      </c>
    </row>
    <row r="18" customFormat="false" ht="15" hidden="false" customHeight="false" outlineLevel="0" collapsed="false">
      <c r="A18" s="28" t="s">
        <v>138</v>
      </c>
      <c r="B18" s="28" t="s">
        <v>115</v>
      </c>
      <c r="C18" s="28" t="s">
        <v>54</v>
      </c>
      <c r="D18" s="28" t="s">
        <v>107</v>
      </c>
      <c r="E18" s="34" t="n">
        <v>46264</v>
      </c>
      <c r="F18" s="34" t="n">
        <v>46284</v>
      </c>
      <c r="G18" s="35" t="n">
        <v>105000</v>
      </c>
      <c r="H18" s="35" t="n">
        <f aca="false">SUMIFS(Daily_Performance!$H$2:$H$1311,Daily_Performance!$B$2:$B$1311,A18)</f>
        <v>102039</v>
      </c>
      <c r="I18" s="35" t="n">
        <f aca="false">SUMIFS(Daily_Performance!$C$2:$C$1311,Daily_Performance!$B$2:$B$1311,A18)</f>
        <v>72460</v>
      </c>
      <c r="J18" s="35" t="n">
        <f aca="false">SUMIFS(Daily_Performance!$D$2:$D$1311,Daily_Performance!$B$2:$B$1311,A18)</f>
        <v>3202</v>
      </c>
      <c r="K18" s="35" t="n">
        <f aca="false">SUMIFS(Daily_Performance!$E$2:$E$1311,Daily_Performance!$B$2:$B$1311,A18)</f>
        <v>119</v>
      </c>
      <c r="L18" s="35" t="n">
        <f aca="false">SUMIFS(Daily_Performance!$F$2:$F$1311,Daily_Performance!$B$2:$B$1311,A18)</f>
        <v>75</v>
      </c>
      <c r="M18" s="35" t="n">
        <f aca="false">SUMIFS(Daily_Performance!$G$2:$G$1311,Daily_Performance!$B$2:$B$1311,A18)</f>
        <v>229580</v>
      </c>
      <c r="N18" s="36" t="n">
        <f aca="false">IFERROR(J18/I18,0)</f>
        <v>0.0441898978746895</v>
      </c>
      <c r="O18" s="37" t="n">
        <f aca="false">IFERROR(H18/J18,0)</f>
        <v>31.867270455965</v>
      </c>
      <c r="P18" s="35" t="n">
        <f aca="false">IFERROR(H18/K18,0)</f>
        <v>857.470588235294</v>
      </c>
      <c r="Q18" s="35" t="n">
        <f aca="false">IFERROR(H18/L18,0)</f>
        <v>1360.52</v>
      </c>
      <c r="R18" s="38" t="n">
        <f aca="false">IFERROR(M18/H18,0)</f>
        <v>2.24992404864807</v>
      </c>
      <c r="S18" s="36" t="n">
        <f aca="false">IFERROR(L18/J18,0)</f>
        <v>0.023422860712055</v>
      </c>
      <c r="T18" s="39" t="n">
        <f aca="false">IFERROR(H18/G18,0)</f>
        <v>0.9718</v>
      </c>
      <c r="U18" s="28" t="str">
        <f aca="false">IF(D18="Awareness","Review (awareness)",IF(R18&gt;=Assumptions!$B$7,"Scale",IF(R18&gt;=Assumptions!$B$8,"Optimise","Pause / Rework")))</f>
        <v>Optimise</v>
      </c>
      <c r="V18" s="28" t="n">
        <f aca="false">IF(D18="Awareness","",COUNTIFS($D$2:$D$31,"&lt;&gt;Awareness",$R$2:$R$31,"&gt;"&amp;R18)+COUNTIFS($D$2:D18,"&lt;&gt;Awareness",$R$2:R18,R18))</f>
        <v>19</v>
      </c>
    </row>
    <row r="19" customFormat="false" ht="15" hidden="false" customHeight="false" outlineLevel="0" collapsed="false">
      <c r="A19" s="28" t="s">
        <v>139</v>
      </c>
      <c r="B19" s="28" t="s">
        <v>140</v>
      </c>
      <c r="C19" s="28" t="s">
        <v>52</v>
      </c>
      <c r="D19" s="28" t="s">
        <v>107</v>
      </c>
      <c r="E19" s="34" t="n">
        <v>46227</v>
      </c>
      <c r="F19" s="34" t="n">
        <v>46289</v>
      </c>
      <c r="G19" s="35" t="n">
        <v>190000</v>
      </c>
      <c r="H19" s="35" t="n">
        <f aca="false">SUMIFS(Daily_Performance!$H$2:$H$1311,Daily_Performance!$B$2:$B$1311,A19)</f>
        <v>187581</v>
      </c>
      <c r="I19" s="35" t="n">
        <f aca="false">SUMIFS(Daily_Performance!$C$2:$C$1311,Daily_Performance!$B$2:$B$1311,A19)</f>
        <v>1046109</v>
      </c>
      <c r="J19" s="35" t="n">
        <f aca="false">SUMIFS(Daily_Performance!$D$2:$D$1311,Daily_Performance!$B$2:$B$1311,A19)</f>
        <v>10590</v>
      </c>
      <c r="K19" s="35" t="n">
        <f aca="false">SUMIFS(Daily_Performance!$E$2:$E$1311,Daily_Performance!$B$2:$B$1311,A19)</f>
        <v>449</v>
      </c>
      <c r="L19" s="35" t="n">
        <f aca="false">SUMIFS(Daily_Performance!$F$2:$F$1311,Daily_Performance!$B$2:$B$1311,A19)</f>
        <v>151</v>
      </c>
      <c r="M19" s="35" t="n">
        <f aca="false">SUMIFS(Daily_Performance!$G$2:$G$1311,Daily_Performance!$B$2:$B$1311,A19)</f>
        <v>411640</v>
      </c>
      <c r="N19" s="36" t="n">
        <f aca="false">IFERROR(J19/I19,0)</f>
        <v>0.0101232280766153</v>
      </c>
      <c r="O19" s="37" t="n">
        <f aca="false">IFERROR(H19/J19,0)</f>
        <v>17.7130311614731</v>
      </c>
      <c r="P19" s="35" t="n">
        <f aca="false">IFERROR(H19/K19,0)</f>
        <v>417.775055679287</v>
      </c>
      <c r="Q19" s="35" t="n">
        <f aca="false">IFERROR(H19/L19,0)</f>
        <v>1242.2582781457</v>
      </c>
      <c r="R19" s="38" t="n">
        <f aca="false">IFERROR(M19/H19,0)</f>
        <v>2.19446532431323</v>
      </c>
      <c r="S19" s="36" t="n">
        <f aca="false">IFERROR(L19/J19,0)</f>
        <v>0.0142587346553352</v>
      </c>
      <c r="T19" s="39" t="n">
        <f aca="false">IFERROR(H19/G19,0)</f>
        <v>0.987268421052632</v>
      </c>
      <c r="U19" s="28" t="str">
        <f aca="false">IF(D19="Awareness","Review (awareness)",IF(R19&gt;=Assumptions!$B$7,"Scale",IF(R19&gt;=Assumptions!$B$8,"Optimise","Pause / Rework")))</f>
        <v>Optimise</v>
      </c>
      <c r="V19" s="28" t="n">
        <f aca="false">IF(D19="Awareness","",COUNTIFS($D$2:$D$31,"&lt;&gt;Awareness",$R$2:$R$31,"&gt;"&amp;R19)+COUNTIFS($D$2:D19,"&lt;&gt;Awareness",$R$2:R19,R19))</f>
        <v>20</v>
      </c>
    </row>
    <row r="20" customFormat="false" ht="15" hidden="false" customHeight="false" outlineLevel="0" collapsed="false">
      <c r="A20" s="28" t="s">
        <v>141</v>
      </c>
      <c r="B20" s="28" t="s">
        <v>142</v>
      </c>
      <c r="C20" s="28" t="s">
        <v>53</v>
      </c>
      <c r="D20" s="28" t="s">
        <v>107</v>
      </c>
      <c r="E20" s="34" t="n">
        <v>46221</v>
      </c>
      <c r="F20" s="34" t="n">
        <v>46279</v>
      </c>
      <c r="G20" s="35" t="n">
        <v>145000</v>
      </c>
      <c r="H20" s="35" t="n">
        <f aca="false">SUMIFS(Daily_Performance!$H$2:$H$1311,Daily_Performance!$B$2:$B$1311,A20)</f>
        <v>135193</v>
      </c>
      <c r="I20" s="35" t="n">
        <f aca="false">SUMIFS(Daily_Performance!$C$2:$C$1311,Daily_Performance!$B$2:$B$1311,A20)</f>
        <v>389357</v>
      </c>
      <c r="J20" s="35" t="n">
        <f aca="false">SUMIFS(Daily_Performance!$D$2:$D$1311,Daily_Performance!$B$2:$B$1311,A20)</f>
        <v>13096</v>
      </c>
      <c r="K20" s="35" t="n">
        <f aca="false">SUMIFS(Daily_Performance!$E$2:$E$1311,Daily_Performance!$B$2:$B$1311,A20)</f>
        <v>538</v>
      </c>
      <c r="L20" s="35" t="n">
        <f aca="false">SUMIFS(Daily_Performance!$F$2:$F$1311,Daily_Performance!$B$2:$B$1311,A20)</f>
        <v>534</v>
      </c>
      <c r="M20" s="35" t="n">
        <f aca="false">SUMIFS(Daily_Performance!$G$2:$G$1311,Daily_Performance!$B$2:$B$1311,A20)</f>
        <v>1658220</v>
      </c>
      <c r="N20" s="36" t="n">
        <f aca="false">IFERROR(J20/I20,0)</f>
        <v>0.0336349417115912</v>
      </c>
      <c r="O20" s="37" t="n">
        <f aca="false">IFERROR(H20/J20,0)</f>
        <v>10.3232284667074</v>
      </c>
      <c r="P20" s="35" t="n">
        <f aca="false">IFERROR(H20/K20,0)</f>
        <v>251.288104089219</v>
      </c>
      <c r="Q20" s="35" t="n">
        <f aca="false">IFERROR(H20/L20,0)</f>
        <v>253.170411985019</v>
      </c>
      <c r="R20" s="38" t="n">
        <f aca="false">IFERROR(M20/H20,0)</f>
        <v>12.265575880408</v>
      </c>
      <c r="S20" s="36" t="n">
        <f aca="false">IFERROR(L20/J20,0)</f>
        <v>0.0407758094074527</v>
      </c>
      <c r="T20" s="39" t="n">
        <f aca="false">IFERROR(H20/G20,0)</f>
        <v>0.932365517241379</v>
      </c>
      <c r="U20" s="28" t="str">
        <f aca="false">IF(D20="Awareness","Review (awareness)",IF(R20&gt;=Assumptions!$B$7,"Scale",IF(R20&gt;=Assumptions!$B$8,"Optimise","Pause / Rework")))</f>
        <v>Scale</v>
      </c>
      <c r="V20" s="28" t="n">
        <f aca="false">IF(D20="Awareness","",COUNTIFS($D$2:$D$31,"&lt;&gt;Awareness",$R$2:$R$31,"&gt;"&amp;R20)+COUNTIFS($D$2:D20,"&lt;&gt;Awareness",$R$2:R20,R20))</f>
        <v>4</v>
      </c>
    </row>
    <row r="21" customFormat="false" ht="15" hidden="false" customHeight="false" outlineLevel="0" collapsed="false">
      <c r="A21" s="28" t="s">
        <v>143</v>
      </c>
      <c r="B21" s="28" t="s">
        <v>144</v>
      </c>
      <c r="C21" s="28" t="s">
        <v>51</v>
      </c>
      <c r="D21" s="28" t="s">
        <v>107</v>
      </c>
      <c r="E21" s="34" t="n">
        <v>46267</v>
      </c>
      <c r="F21" s="34" t="n">
        <v>46288</v>
      </c>
      <c r="G21" s="35" t="n">
        <v>415000</v>
      </c>
      <c r="H21" s="35" t="n">
        <f aca="false">SUMIFS(Daily_Performance!$H$2:$H$1311,Daily_Performance!$B$2:$B$1311,A21)</f>
        <v>451386</v>
      </c>
      <c r="I21" s="35" t="n">
        <f aca="false">SUMIFS(Daily_Performance!$C$2:$C$1311,Daily_Performance!$B$2:$B$1311,A21)</f>
        <v>506352</v>
      </c>
      <c r="J21" s="35" t="n">
        <f aca="false">SUMIFS(Daily_Performance!$D$2:$D$1311,Daily_Performance!$B$2:$B$1311,A21)</f>
        <v>25314</v>
      </c>
      <c r="K21" s="35" t="n">
        <f aca="false">SUMIFS(Daily_Performance!$E$2:$E$1311,Daily_Performance!$B$2:$B$1311,A21)</f>
        <v>997</v>
      </c>
      <c r="L21" s="35" t="n">
        <f aca="false">SUMIFS(Daily_Performance!$F$2:$F$1311,Daily_Performance!$B$2:$B$1311,A21)</f>
        <v>1236</v>
      </c>
      <c r="M21" s="35" t="n">
        <f aca="false">SUMIFS(Daily_Performance!$G$2:$G$1311,Daily_Performance!$B$2:$B$1311,A21)</f>
        <v>4560060</v>
      </c>
      <c r="N21" s="36" t="n">
        <f aca="false">IFERROR(J21/I21,0)</f>
        <v>0.0499928903213575</v>
      </c>
      <c r="O21" s="37" t="n">
        <f aca="false">IFERROR(H21/J21,0)</f>
        <v>17.8314766532354</v>
      </c>
      <c r="P21" s="35" t="n">
        <f aca="false">IFERROR(H21/K21,0)</f>
        <v>452.744232698094</v>
      </c>
      <c r="Q21" s="35" t="n">
        <f aca="false">IFERROR(H21/L21,0)</f>
        <v>365.199029126214</v>
      </c>
      <c r="R21" s="38" t="n">
        <f aca="false">IFERROR(M21/H21,0)</f>
        <v>10.1023514242799</v>
      </c>
      <c r="S21" s="36" t="n">
        <f aca="false">IFERROR(L21/J21,0)</f>
        <v>0.0488267361934108</v>
      </c>
      <c r="T21" s="39" t="n">
        <f aca="false">IFERROR(H21/G21,0)</f>
        <v>1.08767710843373</v>
      </c>
      <c r="U21" s="28" t="str">
        <f aca="false">IF(D21="Awareness","Review (awareness)",IF(R21&gt;=Assumptions!$B$7,"Scale",IF(R21&gt;=Assumptions!$B$8,"Optimise","Pause / Rework")))</f>
        <v>Scale</v>
      </c>
      <c r="V21" s="28" t="n">
        <f aca="false">IF(D21="Awareness","",COUNTIFS($D$2:$D$31,"&lt;&gt;Awareness",$R$2:$R$31,"&gt;"&amp;R21)+COUNTIFS($D$2:D21,"&lt;&gt;Awareness",$R$2:R21,R21))</f>
        <v>8</v>
      </c>
    </row>
    <row r="22" customFormat="false" ht="15" hidden="false" customHeight="false" outlineLevel="0" collapsed="false">
      <c r="A22" s="28" t="s">
        <v>145</v>
      </c>
      <c r="B22" s="28" t="s">
        <v>146</v>
      </c>
      <c r="C22" s="28" t="s">
        <v>51</v>
      </c>
      <c r="D22" s="28" t="s">
        <v>107</v>
      </c>
      <c r="E22" s="34" t="n">
        <v>46225</v>
      </c>
      <c r="F22" s="34" t="n">
        <v>46263</v>
      </c>
      <c r="G22" s="35" t="n">
        <v>270000</v>
      </c>
      <c r="H22" s="35" t="n">
        <f aca="false">SUMIFS(Daily_Performance!$H$2:$H$1311,Daily_Performance!$B$2:$B$1311,A22)</f>
        <v>277550</v>
      </c>
      <c r="I22" s="35" t="n">
        <f aca="false">SUMIFS(Daily_Performance!$C$2:$C$1311,Daily_Performance!$B$2:$B$1311,A22)</f>
        <v>308147</v>
      </c>
      <c r="J22" s="35" t="n">
        <f aca="false">SUMIFS(Daily_Performance!$D$2:$D$1311,Daily_Performance!$B$2:$B$1311,A22)</f>
        <v>15985</v>
      </c>
      <c r="K22" s="35" t="n">
        <f aca="false">SUMIFS(Daily_Performance!$E$2:$E$1311,Daily_Performance!$B$2:$B$1311,A22)</f>
        <v>653</v>
      </c>
      <c r="L22" s="35" t="n">
        <f aca="false">SUMIFS(Daily_Performance!$F$2:$F$1311,Daily_Performance!$B$2:$B$1311,A22)</f>
        <v>864</v>
      </c>
      <c r="M22" s="35" t="n">
        <f aca="false">SUMIFS(Daily_Performance!$G$2:$G$1311,Daily_Performance!$B$2:$B$1311,A22)</f>
        <v>3225710</v>
      </c>
      <c r="N22" s="36" t="n">
        <f aca="false">IFERROR(J22/I22,0)</f>
        <v>0.0518745923211974</v>
      </c>
      <c r="O22" s="37" t="n">
        <f aca="false">IFERROR(H22/J22,0)</f>
        <v>17.3631529558962</v>
      </c>
      <c r="P22" s="35" t="n">
        <f aca="false">IFERROR(H22/K22,0)</f>
        <v>425.038284839204</v>
      </c>
      <c r="Q22" s="35" t="n">
        <f aca="false">IFERROR(H22/L22,0)</f>
        <v>321.238425925926</v>
      </c>
      <c r="R22" s="38" t="n">
        <f aca="false">IFERROR(M22/H22,0)</f>
        <v>11.6220861106107</v>
      </c>
      <c r="S22" s="36" t="n">
        <f aca="false">IFERROR(L22/J22,0)</f>
        <v>0.0540506725054739</v>
      </c>
      <c r="T22" s="39" t="n">
        <f aca="false">IFERROR(H22/G22,0)</f>
        <v>1.02796296296296</v>
      </c>
      <c r="U22" s="28" t="str">
        <f aca="false">IF(D22="Awareness","Review (awareness)",IF(R22&gt;=Assumptions!$B$7,"Scale",IF(R22&gt;=Assumptions!$B$8,"Optimise","Pause / Rework")))</f>
        <v>Scale</v>
      </c>
      <c r="V22" s="28" t="n">
        <f aca="false">IF(D22="Awareness","",COUNTIFS($D$2:$D$31,"&lt;&gt;Awareness",$R$2:$R$31,"&gt;"&amp;R22)+COUNTIFS($D$2:D22,"&lt;&gt;Awareness",$R$2:R22,R22))</f>
        <v>6</v>
      </c>
    </row>
    <row r="23" customFormat="false" ht="15" hidden="false" customHeight="false" outlineLevel="0" collapsed="false">
      <c r="A23" s="28" t="s">
        <v>147</v>
      </c>
      <c r="B23" s="28" t="s">
        <v>148</v>
      </c>
      <c r="C23" s="28" t="s">
        <v>50</v>
      </c>
      <c r="D23" s="28" t="s">
        <v>149</v>
      </c>
      <c r="E23" s="34" t="n">
        <v>46223</v>
      </c>
      <c r="F23" s="34" t="n">
        <v>46289</v>
      </c>
      <c r="G23" s="35" t="n">
        <v>380000</v>
      </c>
      <c r="H23" s="35" t="n">
        <f aca="false">SUMIFS(Daily_Performance!$H$2:$H$1311,Daily_Performance!$B$2:$B$1311,A23)</f>
        <v>384463</v>
      </c>
      <c r="I23" s="35" t="n">
        <f aca="false">SUMIFS(Daily_Performance!$C$2:$C$1311,Daily_Performance!$B$2:$B$1311,A23)</f>
        <v>1541297</v>
      </c>
      <c r="J23" s="35" t="n">
        <f aca="false">SUMIFS(Daily_Performance!$D$2:$D$1311,Daily_Performance!$B$2:$B$1311,A23)</f>
        <v>20500</v>
      </c>
      <c r="K23" s="35" t="n">
        <f aca="false">SUMIFS(Daily_Performance!$E$2:$E$1311,Daily_Performance!$B$2:$B$1311,A23)</f>
        <v>410</v>
      </c>
      <c r="L23" s="35" t="n">
        <f aca="false">SUMIFS(Daily_Performance!$F$2:$F$1311,Daily_Performance!$B$2:$B$1311,A23)</f>
        <v>37</v>
      </c>
      <c r="M23" s="35" t="n">
        <f aca="false">SUMIFS(Daily_Performance!$G$2:$G$1311,Daily_Performance!$B$2:$B$1311,A23)</f>
        <v>115100</v>
      </c>
      <c r="N23" s="36" t="n">
        <f aca="false">IFERROR(J23/I23,0)</f>
        <v>0.0133004865382856</v>
      </c>
      <c r="O23" s="37" t="n">
        <f aca="false">IFERROR(H23/J23,0)</f>
        <v>18.7542926829268</v>
      </c>
      <c r="P23" s="35" t="n">
        <f aca="false">IFERROR(H23/K23,0)</f>
        <v>937.714634146342</v>
      </c>
      <c r="Q23" s="35" t="n">
        <f aca="false">IFERROR(H23/L23,0)</f>
        <v>10390.8918918919</v>
      </c>
      <c r="R23" s="38" t="n">
        <f aca="false">IFERROR(M23/H23,0)</f>
        <v>0.29937861380679</v>
      </c>
      <c r="S23" s="36" t="n">
        <f aca="false">IFERROR(L23/J23,0)</f>
        <v>0.00180487804878049</v>
      </c>
      <c r="T23" s="39" t="n">
        <f aca="false">IFERROR(H23/G23,0)</f>
        <v>1.01174473684211</v>
      </c>
      <c r="U23" s="28" t="str">
        <f aca="false">IF(D23="Awareness","Review (awareness)",IF(R23&gt;=Assumptions!$B$7,"Scale",IF(R23&gt;=Assumptions!$B$8,"Optimise","Pause / Rework")))</f>
        <v>Review (awareness)</v>
      </c>
      <c r="V23" s="28" t="str">
        <f aca="false">IF(D23="Awareness","",COUNTIFS($D$2:$D$31,"&lt;&gt;Awareness",$R$2:$R$31,"&gt;"&amp;R23)+COUNTIFS($D$2:D23,"&lt;&gt;Awareness",$R$2:R23,R23))</f>
        <v/>
      </c>
    </row>
    <row r="24" customFormat="false" ht="15" hidden="false" customHeight="false" outlineLevel="0" collapsed="false">
      <c r="A24" s="28" t="s">
        <v>150</v>
      </c>
      <c r="B24" s="28" t="s">
        <v>151</v>
      </c>
      <c r="C24" s="28" t="s">
        <v>55</v>
      </c>
      <c r="D24" s="28" t="s">
        <v>107</v>
      </c>
      <c r="E24" s="34" t="n">
        <v>46206</v>
      </c>
      <c r="F24" s="34" t="n">
        <v>46226</v>
      </c>
      <c r="G24" s="35" t="n">
        <v>450000</v>
      </c>
      <c r="H24" s="35" t="n">
        <f aca="false">SUMIFS(Daily_Performance!$H$2:$H$1311,Daily_Performance!$B$2:$B$1311,A24)</f>
        <v>416396</v>
      </c>
      <c r="I24" s="35" t="n">
        <f aca="false">SUMIFS(Daily_Performance!$C$2:$C$1311,Daily_Performance!$B$2:$B$1311,A24)</f>
        <v>679938</v>
      </c>
      <c r="J24" s="35" t="n">
        <f aca="false">SUMIFS(Daily_Performance!$D$2:$D$1311,Daily_Performance!$B$2:$B$1311,A24)</f>
        <v>5899</v>
      </c>
      <c r="K24" s="35" t="n">
        <f aca="false">SUMIFS(Daily_Performance!$E$2:$E$1311,Daily_Performance!$B$2:$B$1311,A24)</f>
        <v>223</v>
      </c>
      <c r="L24" s="35" t="n">
        <f aca="false">SUMIFS(Daily_Performance!$F$2:$F$1311,Daily_Performance!$B$2:$B$1311,A24)</f>
        <v>63</v>
      </c>
      <c r="M24" s="35" t="n">
        <f aca="false">SUMIFS(Daily_Performance!$G$2:$G$1311,Daily_Performance!$B$2:$B$1311,A24)</f>
        <v>223880</v>
      </c>
      <c r="N24" s="36" t="n">
        <f aca="false">IFERROR(J24/I24,0)</f>
        <v>0.00867579102800549</v>
      </c>
      <c r="O24" s="37" t="n">
        <f aca="false">IFERROR(H24/J24,0)</f>
        <v>70.587557213087</v>
      </c>
      <c r="P24" s="35" t="n">
        <f aca="false">IFERROR(H24/K24,0)</f>
        <v>1867.2466367713</v>
      </c>
      <c r="Q24" s="35" t="n">
        <f aca="false">IFERROR(H24/L24,0)</f>
        <v>6609.46031746032</v>
      </c>
      <c r="R24" s="38" t="n">
        <f aca="false">IFERROR(M24/H24,0)</f>
        <v>0.537661264757587</v>
      </c>
      <c r="S24" s="36" t="n">
        <f aca="false">IFERROR(L24/J24,0)</f>
        <v>0.0106797762332599</v>
      </c>
      <c r="T24" s="39" t="n">
        <f aca="false">IFERROR(H24/G24,0)</f>
        <v>0.925324444444444</v>
      </c>
      <c r="U24" s="28" t="str">
        <f aca="false">IF(D24="Awareness","Review (awareness)",IF(R24&gt;=Assumptions!$B$7,"Scale",IF(R24&gt;=Assumptions!$B$8,"Optimise","Pause / Rework")))</f>
        <v>Pause / Rework</v>
      </c>
      <c r="V24" s="28" t="n">
        <f aca="false">IF(D24="Awareness","",COUNTIFS($D$2:$D$31,"&lt;&gt;Awareness",$R$2:$R$31,"&gt;"&amp;R24)+COUNTIFS($D$2:D24,"&lt;&gt;Awareness",$R$2:R24,R24))</f>
        <v>28</v>
      </c>
    </row>
    <row r="25" customFormat="false" ht="15" hidden="false" customHeight="false" outlineLevel="0" collapsed="false">
      <c r="A25" s="28" t="s">
        <v>152</v>
      </c>
      <c r="B25" s="28" t="s">
        <v>153</v>
      </c>
      <c r="C25" s="28" t="s">
        <v>55</v>
      </c>
      <c r="D25" s="28" t="s">
        <v>107</v>
      </c>
      <c r="E25" s="34" t="n">
        <v>46242</v>
      </c>
      <c r="F25" s="34" t="n">
        <v>46295</v>
      </c>
      <c r="G25" s="35" t="n">
        <v>295000</v>
      </c>
      <c r="H25" s="35" t="n">
        <f aca="false">SUMIFS(Daily_Performance!$H$2:$H$1311,Daily_Performance!$B$2:$B$1311,A25)</f>
        <v>216806</v>
      </c>
      <c r="I25" s="35" t="n">
        <f aca="false">SUMIFS(Daily_Performance!$C$2:$C$1311,Daily_Performance!$B$2:$B$1311,A25)</f>
        <v>358218</v>
      </c>
      <c r="J25" s="35" t="n">
        <f aca="false">SUMIFS(Daily_Performance!$D$2:$D$1311,Daily_Performance!$B$2:$B$1311,A25)</f>
        <v>3300</v>
      </c>
      <c r="K25" s="35" t="n">
        <f aca="false">SUMIFS(Daily_Performance!$E$2:$E$1311,Daily_Performance!$B$2:$B$1311,A25)</f>
        <v>117</v>
      </c>
      <c r="L25" s="35" t="n">
        <f aca="false">SUMIFS(Daily_Performance!$F$2:$F$1311,Daily_Performance!$B$2:$B$1311,A25)</f>
        <v>56</v>
      </c>
      <c r="M25" s="35" t="n">
        <f aca="false">SUMIFS(Daily_Performance!$G$2:$G$1311,Daily_Performance!$B$2:$B$1311,A25)</f>
        <v>196580</v>
      </c>
      <c r="N25" s="36" t="n">
        <f aca="false">IFERROR(J25/I25,0)</f>
        <v>0.0092122673902484</v>
      </c>
      <c r="O25" s="37" t="n">
        <f aca="false">IFERROR(H25/J25,0)</f>
        <v>65.6987878787879</v>
      </c>
      <c r="P25" s="35" t="n">
        <f aca="false">IFERROR(H25/K25,0)</f>
        <v>1853.04273504274</v>
      </c>
      <c r="Q25" s="35" t="n">
        <f aca="false">IFERROR(H25/L25,0)</f>
        <v>3871.53571428571</v>
      </c>
      <c r="R25" s="38" t="n">
        <f aca="false">IFERROR(M25/H25,0)</f>
        <v>0.906709223914467</v>
      </c>
      <c r="S25" s="36" t="n">
        <f aca="false">IFERROR(L25/J25,0)</f>
        <v>0.016969696969697</v>
      </c>
      <c r="T25" s="39" t="n">
        <f aca="false">IFERROR(H25/G25,0)</f>
        <v>0.734935593220339</v>
      </c>
      <c r="U25" s="28" t="str">
        <f aca="false">IF(D25="Awareness","Review (awareness)",IF(R25&gt;=Assumptions!$B$7,"Scale",IF(R25&gt;=Assumptions!$B$8,"Optimise","Pause / Rework")))</f>
        <v>Pause / Rework</v>
      </c>
      <c r="V25" s="28" t="n">
        <f aca="false">IF(D25="Awareness","",COUNTIFS($D$2:$D$31,"&lt;&gt;Awareness",$R$2:$R$31,"&gt;"&amp;R25)+COUNTIFS($D$2:D25,"&lt;&gt;Awareness",$R$2:R25,R25))</f>
        <v>24</v>
      </c>
    </row>
    <row r="26" customFormat="false" ht="15" hidden="false" customHeight="false" outlineLevel="0" collapsed="false">
      <c r="A26" s="28" t="s">
        <v>154</v>
      </c>
      <c r="B26" s="28" t="s">
        <v>155</v>
      </c>
      <c r="C26" s="28" t="s">
        <v>55</v>
      </c>
      <c r="D26" s="28" t="s">
        <v>107</v>
      </c>
      <c r="E26" s="34" t="n">
        <v>46228</v>
      </c>
      <c r="F26" s="34" t="n">
        <v>46279</v>
      </c>
      <c r="G26" s="35" t="n">
        <v>200000</v>
      </c>
      <c r="H26" s="35" t="n">
        <f aca="false">SUMIFS(Daily_Performance!$H$2:$H$1311,Daily_Performance!$B$2:$B$1311,A26)</f>
        <v>179421</v>
      </c>
      <c r="I26" s="35" t="n">
        <f aca="false">SUMIFS(Daily_Performance!$C$2:$C$1311,Daily_Performance!$B$2:$B$1311,A26)</f>
        <v>296042</v>
      </c>
      <c r="J26" s="35" t="n">
        <f aca="false">SUMIFS(Daily_Performance!$D$2:$D$1311,Daily_Performance!$B$2:$B$1311,A26)</f>
        <v>2653</v>
      </c>
      <c r="K26" s="35" t="n">
        <f aca="false">SUMIFS(Daily_Performance!$E$2:$E$1311,Daily_Performance!$B$2:$B$1311,A26)</f>
        <v>114</v>
      </c>
      <c r="L26" s="35" t="n">
        <f aca="false">SUMIFS(Daily_Performance!$F$2:$F$1311,Daily_Performance!$B$2:$B$1311,A26)</f>
        <v>36</v>
      </c>
      <c r="M26" s="35" t="n">
        <f aca="false">SUMIFS(Daily_Performance!$G$2:$G$1311,Daily_Performance!$B$2:$B$1311,A26)</f>
        <v>125810</v>
      </c>
      <c r="N26" s="36" t="n">
        <f aca="false">IFERROR(J26/I26,0)</f>
        <v>0.00896156626424629</v>
      </c>
      <c r="O26" s="37" t="n">
        <f aca="false">IFERROR(H26/J26,0)</f>
        <v>67.6294760648323</v>
      </c>
      <c r="P26" s="35" t="n">
        <f aca="false">IFERROR(H26/K26,0)</f>
        <v>1573.86842105263</v>
      </c>
      <c r="Q26" s="35" t="n">
        <f aca="false">IFERROR(H26/L26,0)</f>
        <v>4983.91666666667</v>
      </c>
      <c r="R26" s="38" t="n">
        <f aca="false">IFERROR(M26/H26,0)</f>
        <v>0.701199971017885</v>
      </c>
      <c r="S26" s="36" t="n">
        <f aca="false">IFERROR(L26/J26,0)</f>
        <v>0.0135695439125518</v>
      </c>
      <c r="T26" s="39" t="n">
        <f aca="false">IFERROR(H26/G26,0)</f>
        <v>0.897105</v>
      </c>
      <c r="U26" s="28" t="str">
        <f aca="false">IF(D26="Awareness","Review (awareness)",IF(R26&gt;=Assumptions!$B$7,"Scale",IF(R26&gt;=Assumptions!$B$8,"Optimise","Pause / Rework")))</f>
        <v>Pause / Rework</v>
      </c>
      <c r="V26" s="28" t="n">
        <f aca="false">IF(D26="Awareness","",COUNTIFS($D$2:$D$31,"&lt;&gt;Awareness",$R$2:$R$31,"&gt;"&amp;R26)+COUNTIFS($D$2:D26,"&lt;&gt;Awareness",$R$2:R26,R26))</f>
        <v>27</v>
      </c>
    </row>
    <row r="27" customFormat="false" ht="15" hidden="false" customHeight="false" outlineLevel="0" collapsed="false">
      <c r="A27" s="28" t="s">
        <v>156</v>
      </c>
      <c r="B27" s="28" t="s">
        <v>157</v>
      </c>
      <c r="C27" s="28" t="s">
        <v>52</v>
      </c>
      <c r="D27" s="28" t="s">
        <v>99</v>
      </c>
      <c r="E27" s="34" t="n">
        <v>46215</v>
      </c>
      <c r="F27" s="34" t="n">
        <v>46272</v>
      </c>
      <c r="G27" s="35" t="n">
        <v>490000</v>
      </c>
      <c r="H27" s="35" t="n">
        <f aca="false">SUMIFS(Daily_Performance!$H$2:$H$1311,Daily_Performance!$B$2:$B$1311,A27)</f>
        <v>440613</v>
      </c>
      <c r="I27" s="35" t="n">
        <f aca="false">SUMIFS(Daily_Performance!$C$2:$C$1311,Daily_Performance!$B$2:$B$1311,A27)</f>
        <v>2444495</v>
      </c>
      <c r="J27" s="35" t="n">
        <f aca="false">SUMIFS(Daily_Performance!$D$2:$D$1311,Daily_Performance!$B$2:$B$1311,A27)</f>
        <v>22507</v>
      </c>
      <c r="K27" s="35" t="n">
        <f aca="false">SUMIFS(Daily_Performance!$E$2:$E$1311,Daily_Performance!$B$2:$B$1311,A27)</f>
        <v>3203</v>
      </c>
      <c r="L27" s="35" t="n">
        <f aca="false">SUMIFS(Daily_Performance!$F$2:$F$1311,Daily_Performance!$B$2:$B$1311,A27)</f>
        <v>440</v>
      </c>
      <c r="M27" s="35" t="n">
        <f aca="false">SUMIFS(Daily_Performance!$G$2:$G$1311,Daily_Performance!$B$2:$B$1311,A27)</f>
        <v>1182840</v>
      </c>
      <c r="N27" s="36" t="n">
        <f aca="false">IFERROR(J27/I27,0)</f>
        <v>0.00920721866888662</v>
      </c>
      <c r="O27" s="37" t="n">
        <f aca="false">IFERROR(H27/J27,0)</f>
        <v>19.5767094681655</v>
      </c>
      <c r="P27" s="35" t="n">
        <f aca="false">IFERROR(H27/K27,0)</f>
        <v>137.562597564783</v>
      </c>
      <c r="Q27" s="35" t="n">
        <f aca="false">IFERROR(H27/L27,0)</f>
        <v>1001.39318181818</v>
      </c>
      <c r="R27" s="38" t="n">
        <f aca="false">IFERROR(M27/H27,0)</f>
        <v>2.68453268514547</v>
      </c>
      <c r="S27" s="36" t="n">
        <f aca="false">IFERROR(L27/J27,0)</f>
        <v>0.0195494734971342</v>
      </c>
      <c r="T27" s="39" t="n">
        <f aca="false">IFERROR(H27/G27,0)</f>
        <v>0.899210204081633</v>
      </c>
      <c r="U27" s="28" t="str">
        <f aca="false">IF(D27="Awareness","Review (awareness)",IF(R27&gt;=Assumptions!$B$7,"Scale",IF(R27&gt;=Assumptions!$B$8,"Optimise","Pause / Rework")))</f>
        <v>Optimise</v>
      </c>
      <c r="V27" s="28" t="n">
        <f aca="false">IF(D27="Awareness","",COUNTIFS($D$2:$D$31,"&lt;&gt;Awareness",$R$2:$R$31,"&gt;"&amp;R27)+COUNTIFS($D$2:D27,"&lt;&gt;Awareness",$R$2:R27,R27))</f>
        <v>16</v>
      </c>
    </row>
    <row r="28" customFormat="false" ht="15" hidden="false" customHeight="false" outlineLevel="0" collapsed="false">
      <c r="A28" s="28" t="s">
        <v>158</v>
      </c>
      <c r="B28" s="28" t="s">
        <v>111</v>
      </c>
      <c r="C28" s="28" t="s">
        <v>55</v>
      </c>
      <c r="D28" s="28" t="s">
        <v>99</v>
      </c>
      <c r="E28" s="34" t="n">
        <v>46240</v>
      </c>
      <c r="F28" s="34" t="n">
        <v>46292</v>
      </c>
      <c r="G28" s="35" t="n">
        <v>560000</v>
      </c>
      <c r="H28" s="35" t="n">
        <f aca="false">SUMIFS(Daily_Performance!$H$2:$H$1311,Daily_Performance!$B$2:$B$1311,A28)</f>
        <v>531525</v>
      </c>
      <c r="I28" s="35" t="n">
        <f aca="false">SUMIFS(Daily_Performance!$C$2:$C$1311,Daily_Performance!$B$2:$B$1311,A28)</f>
        <v>889654</v>
      </c>
      <c r="J28" s="35" t="n">
        <f aca="false">SUMIFS(Daily_Performance!$D$2:$D$1311,Daily_Performance!$B$2:$B$1311,A28)</f>
        <v>8427</v>
      </c>
      <c r="K28" s="35" t="n">
        <f aca="false">SUMIFS(Daily_Performance!$E$2:$E$1311,Daily_Performance!$B$2:$B$1311,A28)</f>
        <v>1178</v>
      </c>
      <c r="L28" s="35" t="n">
        <f aca="false">SUMIFS(Daily_Performance!$F$2:$F$1311,Daily_Performance!$B$2:$B$1311,A28)</f>
        <v>132</v>
      </c>
      <c r="M28" s="35" t="n">
        <f aca="false">SUMIFS(Daily_Performance!$G$2:$G$1311,Daily_Performance!$B$2:$B$1311,A28)</f>
        <v>482460</v>
      </c>
      <c r="N28" s="36" t="n">
        <f aca="false">IFERROR(J28/I28,0)</f>
        <v>0.00947222178509848</v>
      </c>
      <c r="O28" s="37" t="n">
        <f aca="false">IFERROR(H28/J28,0)</f>
        <v>63.0740477038092</v>
      </c>
      <c r="P28" s="35" t="n">
        <f aca="false">IFERROR(H28/K28,0)</f>
        <v>451.209677419355</v>
      </c>
      <c r="Q28" s="35" t="n">
        <f aca="false">IFERROR(H28/L28,0)</f>
        <v>4026.70454545455</v>
      </c>
      <c r="R28" s="38" t="n">
        <f aca="false">IFERROR(M28/H28,0)</f>
        <v>0.907690136870326</v>
      </c>
      <c r="S28" s="36" t="n">
        <f aca="false">IFERROR(L28/J28,0)</f>
        <v>0.0156639373442506</v>
      </c>
      <c r="T28" s="39" t="n">
        <f aca="false">IFERROR(H28/G28,0)</f>
        <v>0.949151785714286</v>
      </c>
      <c r="U28" s="28" t="str">
        <f aca="false">IF(D28="Awareness","Review (awareness)",IF(R28&gt;=Assumptions!$B$7,"Scale",IF(R28&gt;=Assumptions!$B$8,"Optimise","Pause / Rework")))</f>
        <v>Pause / Rework</v>
      </c>
      <c r="V28" s="28" t="n">
        <f aca="false">IF(D28="Awareness","",COUNTIFS($D$2:$D$31,"&lt;&gt;Awareness",$R$2:$R$31,"&gt;"&amp;R28)+COUNTIFS($D$2:D28,"&lt;&gt;Awareness",$R$2:R28,R28))</f>
        <v>23</v>
      </c>
    </row>
    <row r="29" customFormat="false" ht="15" hidden="false" customHeight="false" outlineLevel="0" collapsed="false">
      <c r="A29" s="28" t="s">
        <v>159</v>
      </c>
      <c r="B29" s="28" t="s">
        <v>160</v>
      </c>
      <c r="C29" s="28" t="s">
        <v>50</v>
      </c>
      <c r="D29" s="28" t="s">
        <v>99</v>
      </c>
      <c r="E29" s="34" t="n">
        <v>46207</v>
      </c>
      <c r="F29" s="34" t="n">
        <v>46275</v>
      </c>
      <c r="G29" s="35" t="n">
        <v>420000</v>
      </c>
      <c r="H29" s="35" t="n">
        <f aca="false">SUMIFS(Daily_Performance!$H$2:$H$1311,Daily_Performance!$B$2:$B$1311,A29)</f>
        <v>433940</v>
      </c>
      <c r="I29" s="35" t="n">
        <f aca="false">SUMIFS(Daily_Performance!$C$2:$C$1311,Daily_Performance!$B$2:$B$1311,A29)</f>
        <v>1745944</v>
      </c>
      <c r="J29" s="35" t="n">
        <f aca="false">SUMIFS(Daily_Performance!$D$2:$D$1311,Daily_Performance!$B$2:$B$1311,A29)</f>
        <v>25649</v>
      </c>
      <c r="K29" s="35" t="n">
        <f aca="false">SUMIFS(Daily_Performance!$E$2:$E$1311,Daily_Performance!$B$2:$B$1311,A29)</f>
        <v>3604</v>
      </c>
      <c r="L29" s="35" t="n">
        <f aca="false">SUMIFS(Daily_Performance!$F$2:$F$1311,Daily_Performance!$B$2:$B$1311,A29)</f>
        <v>443</v>
      </c>
      <c r="M29" s="35" t="n">
        <f aca="false">SUMIFS(Daily_Performance!$G$2:$G$1311,Daily_Performance!$B$2:$B$1311,A29)</f>
        <v>1440090</v>
      </c>
      <c r="N29" s="36" t="n">
        <f aca="false">IFERROR(J29/I29,0)</f>
        <v>0.0146906200886168</v>
      </c>
      <c r="O29" s="37" t="n">
        <f aca="false">IFERROR(H29/J29,0)</f>
        <v>16.9183983781044</v>
      </c>
      <c r="P29" s="35" t="n">
        <f aca="false">IFERROR(H29/K29,0)</f>
        <v>120.405105438402</v>
      </c>
      <c r="Q29" s="35" t="n">
        <f aca="false">IFERROR(H29/L29,0)</f>
        <v>979.548532731377</v>
      </c>
      <c r="R29" s="38" t="n">
        <f aca="false">IFERROR(M29/H29,0)</f>
        <v>3.31863852145458</v>
      </c>
      <c r="S29" s="36" t="n">
        <f aca="false">IFERROR(L29/J29,0)</f>
        <v>0.0172716285235292</v>
      </c>
      <c r="T29" s="39" t="n">
        <f aca="false">IFERROR(H29/G29,0)</f>
        <v>1.03319047619048</v>
      </c>
      <c r="U29" s="28" t="str">
        <f aca="false">IF(D29="Awareness","Review (awareness)",IF(R29&gt;=Assumptions!$B$7,"Scale",IF(R29&gt;=Assumptions!$B$8,"Optimise","Pause / Rework")))</f>
        <v>Optimise</v>
      </c>
      <c r="V29" s="28" t="n">
        <f aca="false">IF(D29="Awareness","",COUNTIFS($D$2:$D$31,"&lt;&gt;Awareness",$R$2:$R$31,"&gt;"&amp;R29)+COUNTIFS($D$2:D29,"&lt;&gt;Awareness",$R$2:R29,R29))</f>
        <v>15</v>
      </c>
    </row>
    <row r="30" customFormat="false" ht="15" hidden="false" customHeight="false" outlineLevel="0" collapsed="false">
      <c r="A30" s="28" t="s">
        <v>161</v>
      </c>
      <c r="B30" s="28" t="s">
        <v>162</v>
      </c>
      <c r="C30" s="28" t="s">
        <v>50</v>
      </c>
      <c r="D30" s="28" t="s">
        <v>149</v>
      </c>
      <c r="E30" s="34" t="n">
        <v>46234</v>
      </c>
      <c r="F30" s="34" t="n">
        <v>46288</v>
      </c>
      <c r="G30" s="35" t="n">
        <v>590000</v>
      </c>
      <c r="H30" s="35" t="n">
        <f aca="false">SUMIFS(Daily_Performance!$H$2:$H$1311,Daily_Performance!$B$2:$B$1311,A30)</f>
        <v>569412</v>
      </c>
      <c r="I30" s="35" t="n">
        <f aca="false">SUMIFS(Daily_Performance!$C$2:$C$1311,Daily_Performance!$B$2:$B$1311,A30)</f>
        <v>2274287</v>
      </c>
      <c r="J30" s="35" t="n">
        <f aca="false">SUMIFS(Daily_Performance!$D$2:$D$1311,Daily_Performance!$B$2:$B$1311,A30)</f>
        <v>29727</v>
      </c>
      <c r="K30" s="35" t="n">
        <f aca="false">SUMIFS(Daily_Performance!$E$2:$E$1311,Daily_Performance!$B$2:$B$1311,A30)</f>
        <v>555</v>
      </c>
      <c r="L30" s="35" t="n">
        <f aca="false">SUMIFS(Daily_Performance!$F$2:$F$1311,Daily_Performance!$B$2:$B$1311,A30)</f>
        <v>72</v>
      </c>
      <c r="M30" s="35" t="n">
        <f aca="false">SUMIFS(Daily_Performance!$G$2:$G$1311,Daily_Performance!$B$2:$B$1311,A30)</f>
        <v>233780</v>
      </c>
      <c r="N30" s="36" t="n">
        <f aca="false">IFERROR(J30/I30,0)</f>
        <v>0.0130709096960938</v>
      </c>
      <c r="O30" s="37" t="n">
        <f aca="false">IFERROR(H30/J30,0)</f>
        <v>19.1547078413563</v>
      </c>
      <c r="P30" s="35" t="n">
        <f aca="false">IFERROR(H30/K30,0)</f>
        <v>1025.96756756757</v>
      </c>
      <c r="Q30" s="35" t="n">
        <f aca="false">IFERROR(H30/L30,0)</f>
        <v>7908.5</v>
      </c>
      <c r="R30" s="38" t="n">
        <f aca="false">IFERROR(M30/H30,0)</f>
        <v>0.410563879932281</v>
      </c>
      <c r="S30" s="36" t="n">
        <f aca="false">IFERROR(L30/J30,0)</f>
        <v>0.00242204056917953</v>
      </c>
      <c r="T30" s="39" t="n">
        <f aca="false">IFERROR(H30/G30,0)</f>
        <v>0.965105084745763</v>
      </c>
      <c r="U30" s="28" t="str">
        <f aca="false">IF(D30="Awareness","Review (awareness)",IF(R30&gt;=Assumptions!$B$7,"Scale",IF(R30&gt;=Assumptions!$B$8,"Optimise","Pause / Rework")))</f>
        <v>Review (awareness)</v>
      </c>
      <c r="V30" s="28" t="str">
        <f aca="false">IF(D30="Awareness","",COUNTIFS($D$2:$D$31,"&lt;&gt;Awareness",$R$2:$R$31,"&gt;"&amp;R30)+COUNTIFS($D$2:D30,"&lt;&gt;Awareness",$R$2:R30,R30))</f>
        <v/>
      </c>
    </row>
    <row r="31" customFormat="false" ht="15" hidden="false" customHeight="false" outlineLevel="0" collapsed="false">
      <c r="A31" s="28" t="s">
        <v>163</v>
      </c>
      <c r="B31" s="28" t="s">
        <v>164</v>
      </c>
      <c r="C31" s="28" t="s">
        <v>53</v>
      </c>
      <c r="D31" s="28" t="s">
        <v>107</v>
      </c>
      <c r="E31" s="34" t="n">
        <v>46208</v>
      </c>
      <c r="F31" s="34" t="n">
        <v>46274</v>
      </c>
      <c r="G31" s="35" t="n">
        <v>35000</v>
      </c>
      <c r="H31" s="35" t="n">
        <f aca="false">SUMIFS(Daily_Performance!$H$2:$H$1311,Daily_Performance!$B$2:$B$1311,A31)</f>
        <v>34356</v>
      </c>
      <c r="I31" s="35" t="n">
        <f aca="false">SUMIFS(Daily_Performance!$C$2:$C$1311,Daily_Performance!$B$2:$B$1311,A31)</f>
        <v>100007</v>
      </c>
      <c r="J31" s="35" t="n">
        <f aca="false">SUMIFS(Daily_Performance!$D$2:$D$1311,Daily_Performance!$B$2:$B$1311,A31)</f>
        <v>3182</v>
      </c>
      <c r="K31" s="35" t="n">
        <f aca="false">SUMIFS(Daily_Performance!$E$2:$E$1311,Daily_Performance!$B$2:$B$1311,A31)</f>
        <v>132</v>
      </c>
      <c r="L31" s="35" t="n">
        <f aca="false">SUMIFS(Daily_Performance!$F$2:$F$1311,Daily_Performance!$B$2:$B$1311,A31)</f>
        <v>134</v>
      </c>
      <c r="M31" s="35" t="n">
        <f aca="false">SUMIFS(Daily_Performance!$G$2:$G$1311,Daily_Performance!$B$2:$B$1311,A31)</f>
        <v>411830</v>
      </c>
      <c r="N31" s="36" t="n">
        <f aca="false">IFERROR(J31/I31,0)</f>
        <v>0.0318177727559071</v>
      </c>
      <c r="O31" s="37" t="n">
        <f aca="false">IFERROR(H31/J31,0)</f>
        <v>10.7969830295412</v>
      </c>
      <c r="P31" s="35" t="n">
        <f aca="false">IFERROR(H31/K31,0)</f>
        <v>260.272727272727</v>
      </c>
      <c r="Q31" s="35" t="n">
        <f aca="false">IFERROR(H31/L31,0)</f>
        <v>256.388059701493</v>
      </c>
      <c r="R31" s="38" t="n">
        <f aca="false">IFERROR(M31/H31,0)</f>
        <v>11.9871347071836</v>
      </c>
      <c r="S31" s="36" t="n">
        <f aca="false">IFERROR(L31/J31,0)</f>
        <v>0.0421118793211817</v>
      </c>
      <c r="T31" s="39" t="n">
        <f aca="false">IFERROR(H31/G31,0)</f>
        <v>0.9816</v>
      </c>
      <c r="U31" s="28" t="str">
        <f aca="false">IF(D31="Awareness","Review (awareness)",IF(R31&gt;=Assumptions!$B$7,"Scale",IF(R31&gt;=Assumptions!$B$8,"Optimise","Pause / Rework")))</f>
        <v>Scale</v>
      </c>
      <c r="V31" s="28" t="n">
        <f aca="false">IF(D31="Awareness","",COUNTIFS($D$2:$D$31,"&lt;&gt;Awareness",$R$2:$R$31,"&gt;"&amp;R31)+COUNTIFS($D$2:D31,"&lt;&gt;Awareness",$R$2:R31,R31))</f>
        <v>5</v>
      </c>
    </row>
  </sheetData>
  <autoFilter ref="A1:V31"/>
  <conditionalFormatting sqref="U2:U31">
    <cfRule type="expression" priority="2" aboveAverage="0" equalAverage="0" bottom="0" percent="0" rank="0" text="" dxfId="7">
      <formula>$U2="Scale"</formula>
    </cfRule>
    <cfRule type="expression" priority="3" aboveAverage="0" equalAverage="0" bottom="0" percent="0" rank="0" text="" dxfId="8">
      <formula>$U2="Optimise"</formula>
    </cfRule>
    <cfRule type="expression" priority="4" aboveAverage="0" equalAverage="0" bottom="0" percent="0" rank="0" text="" dxfId="9">
      <formula>$U2="Pause / Rework"</formula>
    </cfRule>
    <cfRule type="expression" priority="5" aboveAverage="0" equalAverage="0" bottom="0" percent="0" rank="0" text="" dxfId="10">
      <formula>$U2="Review (awareness)"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13"/>
    <col collapsed="false" customWidth="true" hidden="false" outlineLevel="0" max="6" min="4" style="0" width="9"/>
    <col collapsed="false" customWidth="true" hidden="false" outlineLevel="0" max="7" min="7" style="0" width="14"/>
    <col collapsed="false" customWidth="true" hidden="false" outlineLevel="0" max="8" min="8" style="0" width="13"/>
    <col collapsed="false" customWidth="true" hidden="false" outlineLevel="0" max="9" min="9" style="0" width="25"/>
    <col collapsed="false" customWidth="true" hidden="false" outlineLevel="0" max="10" min="10" style="0" width="11"/>
  </cols>
  <sheetData>
    <row r="1" customFormat="false" ht="30" hidden="false" customHeight="true" outlineLevel="0" collapsed="false">
      <c r="A1" s="33" t="s">
        <v>165</v>
      </c>
      <c r="B1" s="33" t="s">
        <v>92</v>
      </c>
      <c r="C1" s="33" t="s">
        <v>97</v>
      </c>
      <c r="D1" s="33" t="s">
        <v>98</v>
      </c>
      <c r="E1" s="33" t="s">
        <v>99</v>
      </c>
      <c r="F1" s="33" t="s">
        <v>42</v>
      </c>
      <c r="G1" s="33" t="s">
        <v>40</v>
      </c>
      <c r="H1" s="33" t="s">
        <v>39</v>
      </c>
      <c r="I1" s="33" t="s">
        <v>44</v>
      </c>
      <c r="J1" s="33" t="s">
        <v>38</v>
      </c>
    </row>
    <row r="2" customFormat="false" ht="15" hidden="false" customHeight="false" outlineLevel="0" collapsed="false">
      <c r="A2" s="34" t="n">
        <v>46206</v>
      </c>
      <c r="B2" s="28" t="s">
        <v>150</v>
      </c>
      <c r="C2" s="35" t="n">
        <v>30145</v>
      </c>
      <c r="D2" s="35" t="n">
        <v>285</v>
      </c>
      <c r="E2" s="35" t="n">
        <v>13</v>
      </c>
      <c r="F2" s="35" t="n">
        <v>2</v>
      </c>
      <c r="G2" s="35" t="n">
        <v>8200</v>
      </c>
      <c r="H2" s="35" t="n">
        <v>19277</v>
      </c>
      <c r="I2" s="28" t="str">
        <f aca="false">INDEX(Campaigns!$C$2:$C$31,MATCH(B2,Campaigns!$A$2:$A$31,0))</f>
        <v>Influencer Partnerships</v>
      </c>
      <c r="J2" s="40" t="n">
        <f aca="false">DATE(YEAR(A2),MONTH(A2),1)</f>
        <v>46204</v>
      </c>
    </row>
    <row r="3" customFormat="false" ht="15" hidden="false" customHeight="false" outlineLevel="0" collapsed="false">
      <c r="A3" s="34" t="n">
        <v>46207</v>
      </c>
      <c r="B3" s="28" t="s">
        <v>150</v>
      </c>
      <c r="C3" s="35" t="n">
        <v>39287</v>
      </c>
      <c r="D3" s="35" t="n">
        <v>351</v>
      </c>
      <c r="E3" s="35" t="n">
        <v>9</v>
      </c>
      <c r="F3" s="35" t="n">
        <v>1</v>
      </c>
      <c r="G3" s="35" t="n">
        <v>1720</v>
      </c>
      <c r="H3" s="35" t="n">
        <v>24050</v>
      </c>
      <c r="I3" s="28" t="str">
        <f aca="false">INDEX(Campaigns!$C$2:$C$31,MATCH(B3,Campaigns!$A$2:$A$31,0))</f>
        <v>Influencer Partnerships</v>
      </c>
      <c r="J3" s="40" t="n">
        <f aca="false">DATE(YEAR(A3),MONTH(A3),1)</f>
        <v>46204</v>
      </c>
    </row>
    <row r="4" customFormat="false" ht="15" hidden="false" customHeight="false" outlineLevel="0" collapsed="false">
      <c r="A4" s="34" t="n">
        <v>46207</v>
      </c>
      <c r="B4" s="28" t="s">
        <v>159</v>
      </c>
      <c r="C4" s="35" t="n">
        <v>29093</v>
      </c>
      <c r="D4" s="35" t="n">
        <v>410</v>
      </c>
      <c r="E4" s="35" t="n">
        <v>69</v>
      </c>
      <c r="F4" s="35" t="n">
        <v>14</v>
      </c>
      <c r="G4" s="35" t="n">
        <v>53410</v>
      </c>
      <c r="H4" s="35" t="n">
        <v>6704</v>
      </c>
      <c r="I4" s="28" t="str">
        <f aca="false">INDEX(Campaigns!$C$2:$C$31,MATCH(B4,Campaigns!$A$2:$A$31,0))</f>
        <v>Facebook &amp; Instagram Ads</v>
      </c>
      <c r="J4" s="40" t="n">
        <f aca="false">DATE(YEAR(A4),MONTH(A4),1)</f>
        <v>46204</v>
      </c>
    </row>
    <row r="5" customFormat="false" ht="15" hidden="false" customHeight="false" outlineLevel="0" collapsed="false">
      <c r="A5" s="34" t="n">
        <v>46208</v>
      </c>
      <c r="B5" s="28" t="s">
        <v>150</v>
      </c>
      <c r="C5" s="35" t="n">
        <v>37725</v>
      </c>
      <c r="D5" s="35" t="n">
        <v>293</v>
      </c>
      <c r="E5" s="35" t="n">
        <v>9</v>
      </c>
      <c r="F5" s="35" t="n">
        <v>7</v>
      </c>
      <c r="G5" s="35" t="n">
        <v>23270</v>
      </c>
      <c r="H5" s="35" t="n">
        <v>24782</v>
      </c>
      <c r="I5" s="28" t="str">
        <f aca="false">INDEX(Campaigns!$C$2:$C$31,MATCH(B5,Campaigns!$A$2:$A$31,0))</f>
        <v>Influencer Partnerships</v>
      </c>
      <c r="J5" s="40" t="n">
        <f aca="false">DATE(YEAR(A5),MONTH(A5),1)</f>
        <v>46204</v>
      </c>
    </row>
    <row r="6" customFormat="false" ht="15" hidden="false" customHeight="false" outlineLevel="0" collapsed="false">
      <c r="A6" s="34" t="n">
        <v>46208</v>
      </c>
      <c r="B6" s="28" t="s">
        <v>159</v>
      </c>
      <c r="C6" s="35" t="n">
        <v>31525</v>
      </c>
      <c r="D6" s="35" t="n">
        <v>466</v>
      </c>
      <c r="E6" s="35" t="n">
        <v>70</v>
      </c>
      <c r="F6" s="35" t="n">
        <v>7</v>
      </c>
      <c r="G6" s="35" t="n">
        <v>20790</v>
      </c>
      <c r="H6" s="35" t="n">
        <v>7743</v>
      </c>
      <c r="I6" s="28" t="str">
        <f aca="false">INDEX(Campaigns!$C$2:$C$31,MATCH(B6,Campaigns!$A$2:$A$31,0))</f>
        <v>Facebook &amp; Instagram Ads</v>
      </c>
      <c r="J6" s="40" t="n">
        <f aca="false">DATE(YEAR(A6),MONTH(A6),1)</f>
        <v>46204</v>
      </c>
    </row>
    <row r="7" customFormat="false" ht="15" hidden="false" customHeight="false" outlineLevel="0" collapsed="false">
      <c r="A7" s="34" t="n">
        <v>46208</v>
      </c>
      <c r="B7" s="28" t="s">
        <v>163</v>
      </c>
      <c r="C7" s="35" t="n">
        <v>1829</v>
      </c>
      <c r="D7" s="35" t="n">
        <v>55</v>
      </c>
      <c r="E7" s="35" t="n">
        <v>3</v>
      </c>
      <c r="F7" s="35" t="n">
        <v>1</v>
      </c>
      <c r="G7" s="35" t="n">
        <v>2150</v>
      </c>
      <c r="H7" s="35" t="n">
        <v>630</v>
      </c>
      <c r="I7" s="28" t="str">
        <f aca="false">INDEX(Campaigns!$C$2:$C$31,MATCH(B7,Campaigns!$A$2:$A$31,0))</f>
        <v>Email</v>
      </c>
      <c r="J7" s="40" t="n">
        <f aca="false">DATE(YEAR(A7),MONTH(A7),1)</f>
        <v>46204</v>
      </c>
    </row>
    <row r="8" customFormat="false" ht="15" hidden="false" customHeight="false" outlineLevel="0" collapsed="false">
      <c r="A8" s="34" t="n">
        <v>46209</v>
      </c>
      <c r="B8" s="28" t="s">
        <v>120</v>
      </c>
      <c r="C8" s="35" t="n">
        <v>89494</v>
      </c>
      <c r="D8" s="35" t="n">
        <v>698</v>
      </c>
      <c r="E8" s="35" t="n">
        <v>28</v>
      </c>
      <c r="F8" s="35" t="n">
        <v>6</v>
      </c>
      <c r="G8" s="35" t="n">
        <v>18390</v>
      </c>
      <c r="H8" s="35" t="n">
        <v>14878</v>
      </c>
      <c r="I8" s="28" t="str">
        <f aca="false">INDEX(Campaigns!$C$2:$C$31,MATCH(B8,Campaigns!$A$2:$A$31,0))</f>
        <v>TikTok Ads</v>
      </c>
      <c r="J8" s="40" t="n">
        <f aca="false">DATE(YEAR(A8),MONTH(A8),1)</f>
        <v>46204</v>
      </c>
    </row>
    <row r="9" customFormat="false" ht="15" hidden="false" customHeight="false" outlineLevel="0" collapsed="false">
      <c r="A9" s="34" t="n">
        <v>46209</v>
      </c>
      <c r="B9" s="28" t="s">
        <v>150</v>
      </c>
      <c r="C9" s="35" t="n">
        <v>38358</v>
      </c>
      <c r="D9" s="35" t="n">
        <v>299</v>
      </c>
      <c r="E9" s="35" t="n">
        <v>11</v>
      </c>
      <c r="F9" s="35" t="n">
        <v>3</v>
      </c>
      <c r="G9" s="35" t="n">
        <v>11850</v>
      </c>
      <c r="H9" s="35" t="n">
        <v>23021</v>
      </c>
      <c r="I9" s="28" t="str">
        <f aca="false">INDEX(Campaigns!$C$2:$C$31,MATCH(B9,Campaigns!$A$2:$A$31,0))</f>
        <v>Influencer Partnerships</v>
      </c>
      <c r="J9" s="40" t="n">
        <f aca="false">DATE(YEAR(A9),MONTH(A9),1)</f>
        <v>46204</v>
      </c>
    </row>
    <row r="10" customFormat="false" ht="15" hidden="false" customHeight="false" outlineLevel="0" collapsed="false">
      <c r="A10" s="34" t="n">
        <v>46209</v>
      </c>
      <c r="B10" s="28" t="s">
        <v>159</v>
      </c>
      <c r="C10" s="35" t="n">
        <v>27163</v>
      </c>
      <c r="D10" s="35" t="n">
        <v>402</v>
      </c>
      <c r="E10" s="35" t="n">
        <v>62</v>
      </c>
      <c r="F10" s="35" t="n">
        <v>9</v>
      </c>
      <c r="G10" s="35" t="n">
        <v>26910</v>
      </c>
      <c r="H10" s="35" t="n">
        <v>6387</v>
      </c>
      <c r="I10" s="28" t="str">
        <f aca="false">INDEX(Campaigns!$C$2:$C$31,MATCH(B10,Campaigns!$A$2:$A$31,0))</f>
        <v>Facebook &amp; Instagram Ads</v>
      </c>
      <c r="J10" s="40" t="n">
        <f aca="false">DATE(YEAR(A10),MONTH(A10),1)</f>
        <v>46204</v>
      </c>
    </row>
    <row r="11" customFormat="false" ht="15" hidden="false" customHeight="false" outlineLevel="0" collapsed="false">
      <c r="A11" s="34" t="n">
        <v>46209</v>
      </c>
      <c r="B11" s="28" t="s">
        <v>163</v>
      </c>
      <c r="C11" s="35" t="n">
        <v>1612</v>
      </c>
      <c r="D11" s="35" t="n">
        <v>46</v>
      </c>
      <c r="E11" s="35" t="n">
        <v>2</v>
      </c>
      <c r="F11" s="35" t="n">
        <v>1</v>
      </c>
      <c r="G11" s="35" t="n">
        <v>2510</v>
      </c>
      <c r="H11" s="35" t="n">
        <v>523</v>
      </c>
      <c r="I11" s="28" t="str">
        <f aca="false">INDEX(Campaigns!$C$2:$C$31,MATCH(B11,Campaigns!$A$2:$A$31,0))</f>
        <v>Email</v>
      </c>
      <c r="J11" s="40" t="n">
        <f aca="false">DATE(YEAR(A11),MONTH(A11),1)</f>
        <v>46204</v>
      </c>
    </row>
    <row r="12" customFormat="false" ht="15" hidden="false" customHeight="false" outlineLevel="0" collapsed="false">
      <c r="A12" s="34" t="n">
        <v>46210</v>
      </c>
      <c r="B12" s="28" t="s">
        <v>120</v>
      </c>
      <c r="C12" s="35" t="n">
        <v>75227</v>
      </c>
      <c r="D12" s="35" t="n">
        <v>619</v>
      </c>
      <c r="E12" s="35" t="n">
        <v>31</v>
      </c>
      <c r="F12" s="35" t="n">
        <v>3</v>
      </c>
      <c r="G12" s="35" t="n">
        <v>9350</v>
      </c>
      <c r="H12" s="35" t="n">
        <v>14909</v>
      </c>
      <c r="I12" s="28" t="str">
        <f aca="false">INDEX(Campaigns!$C$2:$C$31,MATCH(B12,Campaigns!$A$2:$A$31,0))</f>
        <v>TikTok Ads</v>
      </c>
      <c r="J12" s="40" t="n">
        <f aca="false">DATE(YEAR(A12),MONTH(A12),1)</f>
        <v>46204</v>
      </c>
    </row>
    <row r="13" customFormat="false" ht="15" hidden="false" customHeight="false" outlineLevel="0" collapsed="false">
      <c r="A13" s="34" t="n">
        <v>46210</v>
      </c>
      <c r="B13" s="28" t="s">
        <v>150</v>
      </c>
      <c r="C13" s="35" t="n">
        <v>36394</v>
      </c>
      <c r="D13" s="35" t="n">
        <v>275</v>
      </c>
      <c r="E13" s="35" t="n">
        <v>14</v>
      </c>
      <c r="F13" s="35" t="n">
        <v>4</v>
      </c>
      <c r="G13" s="35" t="n">
        <v>17830</v>
      </c>
      <c r="H13" s="35" t="n">
        <v>22430</v>
      </c>
      <c r="I13" s="28" t="str">
        <f aca="false">INDEX(Campaigns!$C$2:$C$31,MATCH(B13,Campaigns!$A$2:$A$31,0))</f>
        <v>Influencer Partnerships</v>
      </c>
      <c r="J13" s="40" t="n">
        <f aca="false">DATE(YEAR(A13),MONTH(A13),1)</f>
        <v>46204</v>
      </c>
    </row>
    <row r="14" customFormat="false" ht="15" hidden="false" customHeight="false" outlineLevel="0" collapsed="false">
      <c r="A14" s="34" t="n">
        <v>46210</v>
      </c>
      <c r="B14" s="28" t="s">
        <v>159</v>
      </c>
      <c r="C14" s="35" t="n">
        <v>22246</v>
      </c>
      <c r="D14" s="35" t="n">
        <v>332</v>
      </c>
      <c r="E14" s="35" t="n">
        <v>48</v>
      </c>
      <c r="F14" s="35" t="n">
        <v>8</v>
      </c>
      <c r="G14" s="35" t="n">
        <v>24610</v>
      </c>
      <c r="H14" s="35" t="n">
        <v>6028</v>
      </c>
      <c r="I14" s="28" t="str">
        <f aca="false">INDEX(Campaigns!$C$2:$C$31,MATCH(B14,Campaigns!$A$2:$A$31,0))</f>
        <v>Facebook &amp; Instagram Ads</v>
      </c>
      <c r="J14" s="40" t="n">
        <f aca="false">DATE(YEAR(A14),MONTH(A14),1)</f>
        <v>46204</v>
      </c>
    </row>
    <row r="15" customFormat="false" ht="15" hidden="false" customHeight="false" outlineLevel="0" collapsed="false">
      <c r="A15" s="34" t="n">
        <v>46210</v>
      </c>
      <c r="B15" s="28" t="s">
        <v>163</v>
      </c>
      <c r="C15" s="35" t="n">
        <v>1522</v>
      </c>
      <c r="D15" s="35" t="n">
        <v>40</v>
      </c>
      <c r="E15" s="35" t="n">
        <v>3</v>
      </c>
      <c r="F15" s="35" t="n">
        <v>0</v>
      </c>
      <c r="G15" s="35" t="n">
        <v>0</v>
      </c>
      <c r="H15" s="35" t="n">
        <v>496</v>
      </c>
      <c r="I15" s="28" t="str">
        <f aca="false">INDEX(Campaigns!$C$2:$C$31,MATCH(B15,Campaigns!$A$2:$A$31,0))</f>
        <v>Email</v>
      </c>
      <c r="J15" s="40" t="n">
        <f aca="false">DATE(YEAR(A15),MONTH(A15),1)</f>
        <v>46204</v>
      </c>
    </row>
    <row r="16" customFormat="false" ht="15" hidden="false" customHeight="false" outlineLevel="0" collapsed="false">
      <c r="A16" s="34" t="n">
        <v>46211</v>
      </c>
      <c r="B16" s="28" t="s">
        <v>120</v>
      </c>
      <c r="C16" s="35" t="n">
        <v>72456</v>
      </c>
      <c r="D16" s="35" t="n">
        <v>545</v>
      </c>
      <c r="E16" s="35" t="n">
        <v>19</v>
      </c>
      <c r="F16" s="35" t="n">
        <v>1</v>
      </c>
      <c r="G16" s="35" t="n">
        <v>3750</v>
      </c>
      <c r="H16" s="35" t="n">
        <v>13171</v>
      </c>
      <c r="I16" s="28" t="str">
        <f aca="false">INDEX(Campaigns!$C$2:$C$31,MATCH(B16,Campaigns!$A$2:$A$31,0))</f>
        <v>TikTok Ads</v>
      </c>
      <c r="J16" s="40" t="n">
        <f aca="false">DATE(YEAR(A16),MONTH(A16),1)</f>
        <v>46204</v>
      </c>
    </row>
    <row r="17" customFormat="false" ht="15" hidden="false" customHeight="false" outlineLevel="0" collapsed="false">
      <c r="A17" s="34" t="n">
        <v>46211</v>
      </c>
      <c r="B17" s="28" t="s">
        <v>159</v>
      </c>
      <c r="C17" s="35" t="n">
        <v>24698</v>
      </c>
      <c r="D17" s="35" t="n">
        <v>334</v>
      </c>
      <c r="E17" s="35" t="n">
        <v>35</v>
      </c>
      <c r="F17" s="35" t="n">
        <v>4</v>
      </c>
      <c r="G17" s="35" t="n">
        <v>10780</v>
      </c>
      <c r="H17" s="35" t="n">
        <v>6189</v>
      </c>
      <c r="I17" s="28" t="str">
        <f aca="false">INDEX(Campaigns!$C$2:$C$31,MATCH(B17,Campaigns!$A$2:$A$31,0))</f>
        <v>Facebook &amp; Instagram Ads</v>
      </c>
      <c r="J17" s="40" t="n">
        <f aca="false">DATE(YEAR(A17),MONTH(A17),1)</f>
        <v>46204</v>
      </c>
    </row>
    <row r="18" customFormat="false" ht="15" hidden="false" customHeight="false" outlineLevel="0" collapsed="false">
      <c r="A18" s="34" t="n">
        <v>46211</v>
      </c>
      <c r="B18" s="28" t="s">
        <v>163</v>
      </c>
      <c r="C18" s="35" t="n">
        <v>1502</v>
      </c>
      <c r="D18" s="35" t="n">
        <v>42</v>
      </c>
      <c r="E18" s="35" t="n">
        <v>4</v>
      </c>
      <c r="F18" s="35" t="n">
        <v>1</v>
      </c>
      <c r="G18" s="35" t="n">
        <v>2690</v>
      </c>
      <c r="H18" s="35" t="n">
        <v>487</v>
      </c>
      <c r="I18" s="28" t="str">
        <f aca="false">INDEX(Campaigns!$C$2:$C$31,MATCH(B18,Campaigns!$A$2:$A$31,0))</f>
        <v>Email</v>
      </c>
      <c r="J18" s="40" t="n">
        <f aca="false">DATE(YEAR(A18),MONTH(A18),1)</f>
        <v>46204</v>
      </c>
    </row>
    <row r="19" customFormat="false" ht="15" hidden="false" customHeight="false" outlineLevel="0" collapsed="false">
      <c r="A19" s="34" t="n">
        <v>46212</v>
      </c>
      <c r="B19" s="28" t="s">
        <v>120</v>
      </c>
      <c r="C19" s="35" t="n">
        <v>71117</v>
      </c>
      <c r="D19" s="35" t="n">
        <v>546</v>
      </c>
      <c r="E19" s="35" t="n">
        <v>28</v>
      </c>
      <c r="F19" s="35" t="n">
        <v>7</v>
      </c>
      <c r="G19" s="35" t="n">
        <v>20230</v>
      </c>
      <c r="H19" s="35" t="n">
        <v>12629</v>
      </c>
      <c r="I19" s="28" t="str">
        <f aca="false">INDEX(Campaigns!$C$2:$C$31,MATCH(B19,Campaigns!$A$2:$A$31,0))</f>
        <v>TikTok Ads</v>
      </c>
      <c r="J19" s="40" t="n">
        <f aca="false">DATE(YEAR(A19),MONTH(A19),1)</f>
        <v>46204</v>
      </c>
    </row>
    <row r="20" customFormat="false" ht="15" hidden="false" customHeight="false" outlineLevel="0" collapsed="false">
      <c r="A20" s="34" t="n">
        <v>46212</v>
      </c>
      <c r="B20" s="28" t="s">
        <v>134</v>
      </c>
      <c r="C20" s="35" t="n">
        <v>2636</v>
      </c>
      <c r="D20" s="35" t="n">
        <v>174</v>
      </c>
      <c r="E20" s="35" t="n">
        <v>7</v>
      </c>
      <c r="F20" s="35" t="n">
        <v>8</v>
      </c>
      <c r="G20" s="35" t="n">
        <v>24350</v>
      </c>
      <c r="H20" s="35" t="n">
        <v>3541</v>
      </c>
      <c r="I20" s="28" t="str">
        <f aca="false">INDEX(Campaigns!$C$2:$C$31,MATCH(B20,Campaigns!$A$2:$A$31,0))</f>
        <v>WhatsApp Broadcast</v>
      </c>
      <c r="J20" s="40" t="n">
        <f aca="false">DATE(YEAR(A20),MONTH(A20),1)</f>
        <v>46204</v>
      </c>
    </row>
    <row r="21" customFormat="false" ht="15" hidden="false" customHeight="false" outlineLevel="0" collapsed="false">
      <c r="A21" s="34" t="n">
        <v>46212</v>
      </c>
      <c r="B21" s="28" t="s">
        <v>150</v>
      </c>
      <c r="C21" s="35" t="n">
        <v>29410</v>
      </c>
      <c r="D21" s="35" t="n">
        <v>281</v>
      </c>
      <c r="E21" s="35" t="n">
        <v>9</v>
      </c>
      <c r="F21" s="35" t="n">
        <v>4</v>
      </c>
      <c r="G21" s="35" t="n">
        <v>14100</v>
      </c>
      <c r="H21" s="35" t="n">
        <v>18053</v>
      </c>
      <c r="I21" s="28" t="str">
        <f aca="false">INDEX(Campaigns!$C$2:$C$31,MATCH(B21,Campaigns!$A$2:$A$31,0))</f>
        <v>Influencer Partnerships</v>
      </c>
      <c r="J21" s="40" t="n">
        <f aca="false">DATE(YEAR(A21),MONTH(A21),1)</f>
        <v>46204</v>
      </c>
    </row>
    <row r="22" customFormat="false" ht="15" hidden="false" customHeight="false" outlineLevel="0" collapsed="false">
      <c r="A22" s="34" t="n">
        <v>46212</v>
      </c>
      <c r="B22" s="28" t="s">
        <v>159</v>
      </c>
      <c r="C22" s="35" t="n">
        <v>24981</v>
      </c>
      <c r="D22" s="35" t="n">
        <v>351</v>
      </c>
      <c r="E22" s="35" t="n">
        <v>46</v>
      </c>
      <c r="F22" s="35" t="n">
        <v>6</v>
      </c>
      <c r="G22" s="35" t="n">
        <v>19800</v>
      </c>
      <c r="H22" s="35" t="n">
        <v>6827</v>
      </c>
      <c r="I22" s="28" t="str">
        <f aca="false">INDEX(Campaigns!$C$2:$C$31,MATCH(B22,Campaigns!$A$2:$A$31,0))</f>
        <v>Facebook &amp; Instagram Ads</v>
      </c>
      <c r="J22" s="40" t="n">
        <f aca="false">DATE(YEAR(A22),MONTH(A22),1)</f>
        <v>46204</v>
      </c>
    </row>
    <row r="23" customFormat="false" ht="15" hidden="false" customHeight="false" outlineLevel="0" collapsed="false">
      <c r="A23" s="34" t="n">
        <v>46212</v>
      </c>
      <c r="B23" s="28" t="s">
        <v>163</v>
      </c>
      <c r="C23" s="35" t="n">
        <v>1545</v>
      </c>
      <c r="D23" s="35" t="n">
        <v>51</v>
      </c>
      <c r="E23" s="35" t="n">
        <v>2</v>
      </c>
      <c r="F23" s="35" t="n">
        <v>2</v>
      </c>
      <c r="G23" s="35" t="n">
        <v>7370</v>
      </c>
      <c r="H23" s="35" t="n">
        <v>504</v>
      </c>
      <c r="I23" s="28" t="str">
        <f aca="false">INDEX(Campaigns!$C$2:$C$31,MATCH(B23,Campaigns!$A$2:$A$31,0))</f>
        <v>Email</v>
      </c>
      <c r="J23" s="40" t="n">
        <f aca="false">DATE(YEAR(A23),MONTH(A23),1)</f>
        <v>46204</v>
      </c>
    </row>
    <row r="24" customFormat="false" ht="15" hidden="false" customHeight="false" outlineLevel="0" collapsed="false">
      <c r="A24" s="34" t="n">
        <v>46213</v>
      </c>
      <c r="B24" s="28" t="s">
        <v>120</v>
      </c>
      <c r="C24" s="35" t="n">
        <v>93137</v>
      </c>
      <c r="D24" s="35" t="n">
        <v>690</v>
      </c>
      <c r="E24" s="35" t="n">
        <v>28</v>
      </c>
      <c r="F24" s="35" t="n">
        <v>4</v>
      </c>
      <c r="G24" s="35" t="n">
        <v>10750</v>
      </c>
      <c r="H24" s="35" t="n">
        <v>15444</v>
      </c>
      <c r="I24" s="28" t="str">
        <f aca="false">INDEX(Campaigns!$C$2:$C$31,MATCH(B24,Campaigns!$A$2:$A$31,0))</f>
        <v>TikTok Ads</v>
      </c>
      <c r="J24" s="40" t="n">
        <f aca="false">DATE(YEAR(A24),MONTH(A24),1)</f>
        <v>46204</v>
      </c>
    </row>
    <row r="25" customFormat="false" ht="15" hidden="false" customHeight="false" outlineLevel="0" collapsed="false">
      <c r="A25" s="34" t="n">
        <v>46213</v>
      </c>
      <c r="B25" s="28" t="s">
        <v>134</v>
      </c>
      <c r="C25" s="35" t="n">
        <v>2823</v>
      </c>
      <c r="D25" s="35" t="n">
        <v>186</v>
      </c>
      <c r="E25" s="35" t="n">
        <v>8</v>
      </c>
      <c r="F25" s="35" t="n">
        <v>2</v>
      </c>
      <c r="G25" s="35" t="n">
        <v>6500</v>
      </c>
      <c r="H25" s="35" t="n">
        <v>3707</v>
      </c>
      <c r="I25" s="28" t="str">
        <f aca="false">INDEX(Campaigns!$C$2:$C$31,MATCH(B25,Campaigns!$A$2:$A$31,0))</f>
        <v>WhatsApp Broadcast</v>
      </c>
      <c r="J25" s="40" t="n">
        <f aca="false">DATE(YEAR(A25),MONTH(A25),1)</f>
        <v>46204</v>
      </c>
    </row>
    <row r="26" customFormat="false" ht="15" hidden="false" customHeight="false" outlineLevel="0" collapsed="false">
      <c r="A26" s="34" t="n">
        <v>46213</v>
      </c>
      <c r="B26" s="28" t="s">
        <v>150</v>
      </c>
      <c r="C26" s="35" t="n">
        <v>43279</v>
      </c>
      <c r="D26" s="35" t="n">
        <v>380</v>
      </c>
      <c r="E26" s="35" t="n">
        <v>13</v>
      </c>
      <c r="F26" s="35" t="n">
        <v>3</v>
      </c>
      <c r="G26" s="35" t="n">
        <v>10580</v>
      </c>
      <c r="H26" s="35" t="n">
        <v>24276</v>
      </c>
      <c r="I26" s="28" t="str">
        <f aca="false">INDEX(Campaigns!$C$2:$C$31,MATCH(B26,Campaigns!$A$2:$A$31,0))</f>
        <v>Influencer Partnerships</v>
      </c>
      <c r="J26" s="40" t="n">
        <f aca="false">DATE(YEAR(A26),MONTH(A26),1)</f>
        <v>46204</v>
      </c>
    </row>
    <row r="27" customFormat="false" ht="15" hidden="false" customHeight="false" outlineLevel="0" collapsed="false">
      <c r="A27" s="34" t="n">
        <v>46213</v>
      </c>
      <c r="B27" s="28" t="s">
        <v>159</v>
      </c>
      <c r="C27" s="35" t="n">
        <v>27582</v>
      </c>
      <c r="D27" s="35" t="n">
        <v>408</v>
      </c>
      <c r="E27" s="35" t="n">
        <v>44</v>
      </c>
      <c r="F27" s="35" t="n">
        <v>6</v>
      </c>
      <c r="G27" s="35" t="n">
        <v>16440</v>
      </c>
      <c r="H27" s="35" t="n">
        <v>6552</v>
      </c>
      <c r="I27" s="28" t="str">
        <f aca="false">INDEX(Campaigns!$C$2:$C$31,MATCH(B27,Campaigns!$A$2:$A$31,0))</f>
        <v>Facebook &amp; Instagram Ads</v>
      </c>
      <c r="J27" s="40" t="n">
        <f aca="false">DATE(YEAR(A27),MONTH(A27),1)</f>
        <v>46204</v>
      </c>
    </row>
    <row r="28" customFormat="false" ht="15" hidden="false" customHeight="false" outlineLevel="0" collapsed="false">
      <c r="A28" s="34" t="n">
        <v>46213</v>
      </c>
      <c r="B28" s="28" t="s">
        <v>163</v>
      </c>
      <c r="C28" s="35" t="n">
        <v>1910</v>
      </c>
      <c r="D28" s="35" t="n">
        <v>63</v>
      </c>
      <c r="E28" s="35" t="n">
        <v>1</v>
      </c>
      <c r="F28" s="35" t="n">
        <v>4</v>
      </c>
      <c r="G28" s="35" t="n">
        <v>11760</v>
      </c>
      <c r="H28" s="35" t="n">
        <v>630</v>
      </c>
      <c r="I28" s="28" t="str">
        <f aca="false">INDEX(Campaigns!$C$2:$C$31,MATCH(B28,Campaigns!$A$2:$A$31,0))</f>
        <v>Email</v>
      </c>
      <c r="J28" s="40" t="n">
        <f aca="false">DATE(YEAR(A28),MONTH(A28),1)</f>
        <v>46204</v>
      </c>
    </row>
    <row r="29" customFormat="false" ht="15" hidden="false" customHeight="false" outlineLevel="0" collapsed="false">
      <c r="A29" s="34" t="n">
        <v>46214</v>
      </c>
      <c r="B29" s="28" t="s">
        <v>120</v>
      </c>
      <c r="C29" s="35" t="n">
        <v>94024</v>
      </c>
      <c r="D29" s="35" t="n">
        <v>754</v>
      </c>
      <c r="E29" s="35" t="n">
        <v>23</v>
      </c>
      <c r="F29" s="35" t="n">
        <v>10</v>
      </c>
      <c r="G29" s="35" t="n">
        <v>30400</v>
      </c>
      <c r="H29" s="35" t="n">
        <v>17375</v>
      </c>
      <c r="I29" s="28" t="str">
        <f aca="false">INDEX(Campaigns!$C$2:$C$31,MATCH(B29,Campaigns!$A$2:$A$31,0))</f>
        <v>TikTok Ads</v>
      </c>
      <c r="J29" s="40" t="n">
        <f aca="false">DATE(YEAR(A29),MONTH(A29),1)</f>
        <v>46204</v>
      </c>
    </row>
    <row r="30" customFormat="false" ht="15" hidden="false" customHeight="false" outlineLevel="0" collapsed="false">
      <c r="A30" s="34" t="n">
        <v>46214</v>
      </c>
      <c r="B30" s="28" t="s">
        <v>134</v>
      </c>
      <c r="C30" s="35" t="n">
        <v>2308</v>
      </c>
      <c r="D30" s="35" t="n">
        <v>149</v>
      </c>
      <c r="E30" s="35" t="n">
        <v>5</v>
      </c>
      <c r="F30" s="35" t="n">
        <v>9</v>
      </c>
      <c r="G30" s="35" t="n">
        <v>28770</v>
      </c>
      <c r="H30" s="35" t="n">
        <v>3187</v>
      </c>
      <c r="I30" s="28" t="str">
        <f aca="false">INDEX(Campaigns!$C$2:$C$31,MATCH(B30,Campaigns!$A$2:$A$31,0))</f>
        <v>WhatsApp Broadcast</v>
      </c>
      <c r="J30" s="40" t="n">
        <f aca="false">DATE(YEAR(A30),MONTH(A30),1)</f>
        <v>46204</v>
      </c>
    </row>
    <row r="31" customFormat="false" ht="15" hidden="false" customHeight="false" outlineLevel="0" collapsed="false">
      <c r="A31" s="34" t="n">
        <v>46214</v>
      </c>
      <c r="B31" s="28" t="s">
        <v>150</v>
      </c>
      <c r="C31" s="35" t="n">
        <v>39339</v>
      </c>
      <c r="D31" s="35" t="n">
        <v>363</v>
      </c>
      <c r="E31" s="35" t="n">
        <v>14</v>
      </c>
      <c r="F31" s="35" t="n">
        <v>4</v>
      </c>
      <c r="G31" s="35" t="n">
        <v>14810</v>
      </c>
      <c r="H31" s="35" t="n">
        <v>25688</v>
      </c>
      <c r="I31" s="28" t="str">
        <f aca="false">INDEX(Campaigns!$C$2:$C$31,MATCH(B31,Campaigns!$A$2:$A$31,0))</f>
        <v>Influencer Partnerships</v>
      </c>
      <c r="J31" s="40" t="n">
        <f aca="false">DATE(YEAR(A31),MONTH(A31),1)</f>
        <v>46204</v>
      </c>
    </row>
    <row r="32" customFormat="false" ht="15" hidden="false" customHeight="false" outlineLevel="0" collapsed="false">
      <c r="A32" s="34" t="n">
        <v>46214</v>
      </c>
      <c r="B32" s="28" t="s">
        <v>159</v>
      </c>
      <c r="C32" s="35" t="n">
        <v>28401</v>
      </c>
      <c r="D32" s="35" t="n">
        <v>435</v>
      </c>
      <c r="E32" s="35" t="n">
        <v>67</v>
      </c>
      <c r="F32" s="35" t="n">
        <v>6</v>
      </c>
      <c r="G32" s="35" t="n">
        <v>19980</v>
      </c>
      <c r="H32" s="35" t="n">
        <v>6855</v>
      </c>
      <c r="I32" s="28" t="str">
        <f aca="false">INDEX(Campaigns!$C$2:$C$31,MATCH(B32,Campaigns!$A$2:$A$31,0))</f>
        <v>Facebook &amp; Instagram Ads</v>
      </c>
      <c r="J32" s="40" t="n">
        <f aca="false">DATE(YEAR(A32),MONTH(A32),1)</f>
        <v>46204</v>
      </c>
    </row>
    <row r="33" customFormat="false" ht="15" hidden="false" customHeight="false" outlineLevel="0" collapsed="false">
      <c r="A33" s="34" t="n">
        <v>46214</v>
      </c>
      <c r="B33" s="28" t="s">
        <v>163</v>
      </c>
      <c r="C33" s="35" t="n">
        <v>1809</v>
      </c>
      <c r="D33" s="35" t="n">
        <v>59</v>
      </c>
      <c r="E33" s="35" t="n">
        <v>2</v>
      </c>
      <c r="F33" s="35" t="n">
        <v>3</v>
      </c>
      <c r="G33" s="35" t="n">
        <v>9560</v>
      </c>
      <c r="H33" s="35" t="n">
        <v>608</v>
      </c>
      <c r="I33" s="28" t="str">
        <f aca="false">INDEX(Campaigns!$C$2:$C$31,MATCH(B33,Campaigns!$A$2:$A$31,0))</f>
        <v>Email</v>
      </c>
      <c r="J33" s="40" t="n">
        <f aca="false">DATE(YEAR(A33),MONTH(A33),1)</f>
        <v>46204</v>
      </c>
    </row>
    <row r="34" customFormat="false" ht="15" hidden="false" customHeight="false" outlineLevel="0" collapsed="false">
      <c r="A34" s="34" t="n">
        <v>46215</v>
      </c>
      <c r="B34" s="28" t="s">
        <v>105</v>
      </c>
      <c r="C34" s="35" t="n">
        <v>6396</v>
      </c>
      <c r="D34" s="35" t="n">
        <v>249</v>
      </c>
      <c r="E34" s="35" t="n">
        <v>10</v>
      </c>
      <c r="F34" s="35" t="n">
        <v>5</v>
      </c>
      <c r="G34" s="35" t="n">
        <v>16540</v>
      </c>
      <c r="H34" s="35" t="n">
        <v>5471</v>
      </c>
      <c r="I34" s="28" t="str">
        <f aca="false">INDEX(Campaigns!$C$2:$C$31,MATCH(B34,Campaigns!$A$2:$A$31,0))</f>
        <v>Google Search Ads</v>
      </c>
      <c r="J34" s="40" t="n">
        <f aca="false">DATE(YEAR(A34),MONTH(A34),1)</f>
        <v>46204</v>
      </c>
    </row>
    <row r="35" customFormat="false" ht="15" hidden="false" customHeight="false" outlineLevel="0" collapsed="false">
      <c r="A35" s="34" t="n">
        <v>46215</v>
      </c>
      <c r="B35" s="28" t="s">
        <v>120</v>
      </c>
      <c r="C35" s="35" t="n">
        <v>78008</v>
      </c>
      <c r="D35" s="35" t="n">
        <v>621</v>
      </c>
      <c r="E35" s="35" t="n">
        <v>24</v>
      </c>
      <c r="F35" s="35" t="n">
        <v>7</v>
      </c>
      <c r="G35" s="35" t="n">
        <v>17980</v>
      </c>
      <c r="H35" s="35" t="n">
        <v>13791</v>
      </c>
      <c r="I35" s="28" t="str">
        <f aca="false">INDEX(Campaigns!$C$2:$C$31,MATCH(B35,Campaigns!$A$2:$A$31,0))</f>
        <v>TikTok Ads</v>
      </c>
      <c r="J35" s="40" t="n">
        <f aca="false">DATE(YEAR(A35),MONTH(A35),1)</f>
        <v>46204</v>
      </c>
    </row>
    <row r="36" customFormat="false" ht="15" hidden="false" customHeight="false" outlineLevel="0" collapsed="false">
      <c r="A36" s="34" t="n">
        <v>46215</v>
      </c>
      <c r="B36" s="28" t="s">
        <v>134</v>
      </c>
      <c r="C36" s="35" t="n">
        <v>2464</v>
      </c>
      <c r="D36" s="35" t="n">
        <v>162</v>
      </c>
      <c r="E36" s="35" t="n">
        <v>5</v>
      </c>
      <c r="F36" s="35" t="n">
        <v>9</v>
      </c>
      <c r="G36" s="35" t="n">
        <v>21560</v>
      </c>
      <c r="H36" s="35" t="n">
        <v>3426</v>
      </c>
      <c r="I36" s="28" t="str">
        <f aca="false">INDEX(Campaigns!$C$2:$C$31,MATCH(B36,Campaigns!$A$2:$A$31,0))</f>
        <v>WhatsApp Broadcast</v>
      </c>
      <c r="J36" s="40" t="n">
        <f aca="false">DATE(YEAR(A36),MONTH(A36),1)</f>
        <v>46204</v>
      </c>
    </row>
    <row r="37" customFormat="false" ht="15" hidden="false" customHeight="false" outlineLevel="0" collapsed="false">
      <c r="A37" s="34" t="n">
        <v>46215</v>
      </c>
      <c r="B37" s="28" t="s">
        <v>150</v>
      </c>
      <c r="C37" s="35" t="n">
        <v>37185</v>
      </c>
      <c r="D37" s="35" t="n">
        <v>343</v>
      </c>
      <c r="E37" s="35" t="n">
        <v>13</v>
      </c>
      <c r="F37" s="35" t="n">
        <v>4</v>
      </c>
      <c r="G37" s="35" t="n">
        <v>12980</v>
      </c>
      <c r="H37" s="35" t="n">
        <v>21886</v>
      </c>
      <c r="I37" s="28" t="str">
        <f aca="false">INDEX(Campaigns!$C$2:$C$31,MATCH(B37,Campaigns!$A$2:$A$31,0))</f>
        <v>Influencer Partnerships</v>
      </c>
      <c r="J37" s="40" t="n">
        <f aca="false">DATE(YEAR(A37),MONTH(A37),1)</f>
        <v>46204</v>
      </c>
    </row>
    <row r="38" customFormat="false" ht="15" hidden="false" customHeight="false" outlineLevel="0" collapsed="false">
      <c r="A38" s="34" t="n">
        <v>46215</v>
      </c>
      <c r="B38" s="28" t="s">
        <v>156</v>
      </c>
      <c r="C38" s="35" t="n">
        <v>39344</v>
      </c>
      <c r="D38" s="35" t="n">
        <v>389</v>
      </c>
      <c r="E38" s="35" t="n">
        <v>51</v>
      </c>
      <c r="F38" s="35" t="n">
        <v>6</v>
      </c>
      <c r="G38" s="35" t="n">
        <v>15050</v>
      </c>
      <c r="H38" s="35" t="n">
        <v>7840</v>
      </c>
      <c r="I38" s="28" t="str">
        <f aca="false">INDEX(Campaigns!$C$2:$C$31,MATCH(B38,Campaigns!$A$2:$A$31,0))</f>
        <v>TikTok Ads</v>
      </c>
      <c r="J38" s="40" t="n">
        <f aca="false">DATE(YEAR(A38),MONTH(A38),1)</f>
        <v>46204</v>
      </c>
    </row>
    <row r="39" customFormat="false" ht="15" hidden="false" customHeight="false" outlineLevel="0" collapsed="false">
      <c r="A39" s="34" t="n">
        <v>46215</v>
      </c>
      <c r="B39" s="28" t="s">
        <v>159</v>
      </c>
      <c r="C39" s="35" t="n">
        <v>31032</v>
      </c>
      <c r="D39" s="35" t="n">
        <v>477</v>
      </c>
      <c r="E39" s="35" t="n">
        <v>71</v>
      </c>
      <c r="F39" s="35" t="n">
        <v>11</v>
      </c>
      <c r="G39" s="35" t="n">
        <v>33750</v>
      </c>
      <c r="H39" s="35" t="n">
        <v>7415</v>
      </c>
      <c r="I39" s="28" t="str">
        <f aca="false">INDEX(Campaigns!$C$2:$C$31,MATCH(B39,Campaigns!$A$2:$A$31,0))</f>
        <v>Facebook &amp; Instagram Ads</v>
      </c>
      <c r="J39" s="40" t="n">
        <f aca="false">DATE(YEAR(A39),MONTH(A39),1)</f>
        <v>46204</v>
      </c>
    </row>
    <row r="40" customFormat="false" ht="15" hidden="false" customHeight="false" outlineLevel="0" collapsed="false">
      <c r="A40" s="34" t="n">
        <v>46215</v>
      </c>
      <c r="B40" s="28" t="s">
        <v>163</v>
      </c>
      <c r="C40" s="35" t="n">
        <v>1327</v>
      </c>
      <c r="D40" s="35" t="n">
        <v>45</v>
      </c>
      <c r="E40" s="35" t="n">
        <v>1</v>
      </c>
      <c r="F40" s="35" t="n">
        <v>2</v>
      </c>
      <c r="G40" s="35" t="n">
        <v>6840</v>
      </c>
      <c r="H40" s="35" t="n">
        <v>512</v>
      </c>
      <c r="I40" s="28" t="str">
        <f aca="false">INDEX(Campaigns!$C$2:$C$31,MATCH(B40,Campaigns!$A$2:$A$31,0))</f>
        <v>Email</v>
      </c>
      <c r="J40" s="40" t="n">
        <f aca="false">DATE(YEAR(A40),MONTH(A40),1)</f>
        <v>46204</v>
      </c>
    </row>
    <row r="41" customFormat="false" ht="15" hidden="false" customHeight="false" outlineLevel="0" collapsed="false">
      <c r="A41" s="34" t="n">
        <v>46216</v>
      </c>
      <c r="B41" s="28" t="s">
        <v>105</v>
      </c>
      <c r="C41" s="35" t="n">
        <v>5419</v>
      </c>
      <c r="D41" s="35" t="n">
        <v>211</v>
      </c>
      <c r="E41" s="35" t="n">
        <v>2</v>
      </c>
      <c r="F41" s="35" t="n">
        <v>5</v>
      </c>
      <c r="G41" s="35" t="n">
        <v>18500</v>
      </c>
      <c r="H41" s="35" t="n">
        <v>5329</v>
      </c>
      <c r="I41" s="28" t="str">
        <f aca="false">INDEX(Campaigns!$C$2:$C$31,MATCH(B41,Campaigns!$A$2:$A$31,0))</f>
        <v>Google Search Ads</v>
      </c>
      <c r="J41" s="40" t="n">
        <f aca="false">DATE(YEAR(A41),MONTH(A41),1)</f>
        <v>46204</v>
      </c>
    </row>
    <row r="42" customFormat="false" ht="15" hidden="false" customHeight="false" outlineLevel="0" collapsed="false">
      <c r="A42" s="34" t="n">
        <v>46216</v>
      </c>
      <c r="B42" s="28" t="s">
        <v>120</v>
      </c>
      <c r="C42" s="35" t="n">
        <v>76343</v>
      </c>
      <c r="D42" s="35" t="n">
        <v>611</v>
      </c>
      <c r="E42" s="35" t="n">
        <v>26</v>
      </c>
      <c r="F42" s="35" t="n">
        <v>4</v>
      </c>
      <c r="G42" s="35" t="n">
        <v>10370</v>
      </c>
      <c r="H42" s="35" t="n">
        <v>13606</v>
      </c>
      <c r="I42" s="28" t="str">
        <f aca="false">INDEX(Campaigns!$C$2:$C$31,MATCH(B42,Campaigns!$A$2:$A$31,0))</f>
        <v>TikTok Ads</v>
      </c>
      <c r="J42" s="40" t="n">
        <f aca="false">DATE(YEAR(A42),MONTH(A42),1)</f>
        <v>46204</v>
      </c>
    </row>
    <row r="43" customFormat="false" ht="15" hidden="false" customHeight="false" outlineLevel="0" collapsed="false">
      <c r="A43" s="34" t="n">
        <v>46216</v>
      </c>
      <c r="B43" s="28" t="s">
        <v>124</v>
      </c>
      <c r="C43" s="35" t="n">
        <v>5923</v>
      </c>
      <c r="D43" s="35" t="n">
        <v>136</v>
      </c>
      <c r="E43" s="35" t="n">
        <v>5</v>
      </c>
      <c r="F43" s="35" t="n">
        <v>3</v>
      </c>
      <c r="G43" s="35" t="n">
        <v>6610</v>
      </c>
      <c r="H43" s="35" t="n">
        <v>2249</v>
      </c>
      <c r="I43" s="28" t="str">
        <f aca="false">INDEX(Campaigns!$C$2:$C$31,MATCH(B43,Campaigns!$A$2:$A$31,0))</f>
        <v>Email</v>
      </c>
      <c r="J43" s="40" t="n">
        <f aca="false">DATE(YEAR(A43),MONTH(A43),1)</f>
        <v>46204</v>
      </c>
    </row>
    <row r="44" customFormat="false" ht="15" hidden="false" customHeight="false" outlineLevel="0" collapsed="false">
      <c r="A44" s="34" t="n">
        <v>46216</v>
      </c>
      <c r="B44" s="28" t="s">
        <v>134</v>
      </c>
      <c r="C44" s="35" t="n">
        <v>1898</v>
      </c>
      <c r="D44" s="35" t="n">
        <v>121</v>
      </c>
      <c r="E44" s="35" t="n">
        <v>4</v>
      </c>
      <c r="F44" s="35" t="n">
        <v>6</v>
      </c>
      <c r="G44" s="35" t="n">
        <v>18010</v>
      </c>
      <c r="H44" s="35" t="n">
        <v>2753</v>
      </c>
      <c r="I44" s="28" t="str">
        <f aca="false">INDEX(Campaigns!$C$2:$C$31,MATCH(B44,Campaigns!$A$2:$A$31,0))</f>
        <v>WhatsApp Broadcast</v>
      </c>
      <c r="J44" s="40" t="n">
        <f aca="false">DATE(YEAR(A44),MONTH(A44),1)</f>
        <v>46204</v>
      </c>
    </row>
    <row r="45" customFormat="false" ht="15" hidden="false" customHeight="false" outlineLevel="0" collapsed="false">
      <c r="A45" s="34" t="n">
        <v>46216</v>
      </c>
      <c r="B45" s="28" t="s">
        <v>156</v>
      </c>
      <c r="C45" s="35" t="n">
        <v>45475</v>
      </c>
      <c r="D45" s="35" t="n">
        <v>423</v>
      </c>
      <c r="E45" s="35" t="n">
        <v>65</v>
      </c>
      <c r="F45" s="35" t="n">
        <v>10</v>
      </c>
      <c r="G45" s="35" t="n">
        <v>27030</v>
      </c>
      <c r="H45" s="35" t="n">
        <v>8779</v>
      </c>
      <c r="I45" s="28" t="str">
        <f aca="false">INDEX(Campaigns!$C$2:$C$31,MATCH(B45,Campaigns!$A$2:$A$31,0))</f>
        <v>TikTok Ads</v>
      </c>
      <c r="J45" s="40" t="n">
        <f aca="false">DATE(YEAR(A45),MONTH(A45),1)</f>
        <v>46204</v>
      </c>
    </row>
    <row r="46" customFormat="false" ht="15" hidden="false" customHeight="false" outlineLevel="0" collapsed="false">
      <c r="A46" s="34" t="n">
        <v>46216</v>
      </c>
      <c r="B46" s="28" t="s">
        <v>159</v>
      </c>
      <c r="C46" s="35" t="n">
        <v>22714</v>
      </c>
      <c r="D46" s="35" t="n">
        <v>337</v>
      </c>
      <c r="E46" s="35" t="n">
        <v>46</v>
      </c>
      <c r="F46" s="35" t="n">
        <v>3</v>
      </c>
      <c r="G46" s="35" t="n">
        <v>9410</v>
      </c>
      <c r="H46" s="35" t="n">
        <v>5889</v>
      </c>
      <c r="I46" s="28" t="str">
        <f aca="false">INDEX(Campaigns!$C$2:$C$31,MATCH(B46,Campaigns!$A$2:$A$31,0))</f>
        <v>Facebook &amp; Instagram Ads</v>
      </c>
      <c r="J46" s="40" t="n">
        <f aca="false">DATE(YEAR(A46),MONTH(A46),1)</f>
        <v>46204</v>
      </c>
    </row>
    <row r="47" customFormat="false" ht="15" hidden="false" customHeight="false" outlineLevel="0" collapsed="false">
      <c r="A47" s="34" t="n">
        <v>46216</v>
      </c>
      <c r="B47" s="28" t="s">
        <v>163</v>
      </c>
      <c r="C47" s="35" t="n">
        <v>1361</v>
      </c>
      <c r="D47" s="35" t="n">
        <v>46</v>
      </c>
      <c r="E47" s="35" t="n">
        <v>0</v>
      </c>
      <c r="F47" s="35" t="n">
        <v>0</v>
      </c>
      <c r="G47" s="35" t="n">
        <v>0</v>
      </c>
      <c r="H47" s="35" t="n">
        <v>478</v>
      </c>
      <c r="I47" s="28" t="str">
        <f aca="false">INDEX(Campaigns!$C$2:$C$31,MATCH(B47,Campaigns!$A$2:$A$31,0))</f>
        <v>Email</v>
      </c>
      <c r="J47" s="40" t="n">
        <f aca="false">DATE(YEAR(A47),MONTH(A47),1)</f>
        <v>46204</v>
      </c>
    </row>
    <row r="48" customFormat="false" ht="15" hidden="false" customHeight="false" outlineLevel="0" collapsed="false">
      <c r="A48" s="34" t="n">
        <v>46217</v>
      </c>
      <c r="B48" s="28" t="s">
        <v>105</v>
      </c>
      <c r="C48" s="35" t="n">
        <v>4957</v>
      </c>
      <c r="D48" s="35" t="n">
        <v>179</v>
      </c>
      <c r="E48" s="35" t="n">
        <v>5</v>
      </c>
      <c r="F48" s="35" t="n">
        <v>8</v>
      </c>
      <c r="G48" s="35" t="n">
        <v>27590</v>
      </c>
      <c r="H48" s="35" t="n">
        <v>4533</v>
      </c>
      <c r="I48" s="28" t="str">
        <f aca="false">INDEX(Campaigns!$C$2:$C$31,MATCH(B48,Campaigns!$A$2:$A$31,0))</f>
        <v>Google Search Ads</v>
      </c>
      <c r="J48" s="40" t="n">
        <f aca="false">DATE(YEAR(A48),MONTH(A48),1)</f>
        <v>46204</v>
      </c>
    </row>
    <row r="49" customFormat="false" ht="15" hidden="false" customHeight="false" outlineLevel="0" collapsed="false">
      <c r="A49" s="34" t="n">
        <v>46217</v>
      </c>
      <c r="B49" s="28" t="s">
        <v>112</v>
      </c>
      <c r="C49" s="35" t="n">
        <v>1052</v>
      </c>
      <c r="D49" s="35" t="n">
        <v>54</v>
      </c>
      <c r="E49" s="35" t="n">
        <v>2</v>
      </c>
      <c r="F49" s="35" t="n">
        <v>3</v>
      </c>
      <c r="G49" s="35" t="n">
        <v>6750</v>
      </c>
      <c r="H49" s="35" t="n">
        <v>1368</v>
      </c>
      <c r="I49" s="28" t="str">
        <f aca="false">INDEX(Campaigns!$C$2:$C$31,MATCH(B49,Campaigns!$A$2:$A$31,0))</f>
        <v>WhatsApp Broadcast</v>
      </c>
      <c r="J49" s="40" t="n">
        <f aca="false">DATE(YEAR(A49),MONTH(A49),1)</f>
        <v>46204</v>
      </c>
    </row>
    <row r="50" customFormat="false" ht="15" hidden="false" customHeight="false" outlineLevel="0" collapsed="false">
      <c r="A50" s="34" t="n">
        <v>46217</v>
      </c>
      <c r="B50" s="28" t="s">
        <v>120</v>
      </c>
      <c r="C50" s="35" t="n">
        <v>70697</v>
      </c>
      <c r="D50" s="35" t="n">
        <v>555</v>
      </c>
      <c r="E50" s="35" t="n">
        <v>17</v>
      </c>
      <c r="F50" s="35" t="n">
        <v>4</v>
      </c>
      <c r="G50" s="35" t="n">
        <v>13380</v>
      </c>
      <c r="H50" s="35" t="n">
        <v>12501</v>
      </c>
      <c r="I50" s="28" t="str">
        <f aca="false">INDEX(Campaigns!$C$2:$C$31,MATCH(B50,Campaigns!$A$2:$A$31,0))</f>
        <v>TikTok Ads</v>
      </c>
      <c r="J50" s="40" t="n">
        <f aca="false">DATE(YEAR(A50),MONTH(A50),1)</f>
        <v>46204</v>
      </c>
    </row>
    <row r="51" customFormat="false" ht="15" hidden="false" customHeight="false" outlineLevel="0" collapsed="false">
      <c r="A51" s="34" t="n">
        <v>46217</v>
      </c>
      <c r="B51" s="28" t="s">
        <v>124</v>
      </c>
      <c r="C51" s="35" t="n">
        <v>6708</v>
      </c>
      <c r="D51" s="35" t="n">
        <v>168</v>
      </c>
      <c r="E51" s="35" t="n">
        <v>5</v>
      </c>
      <c r="F51" s="35" t="n">
        <v>0</v>
      </c>
      <c r="G51" s="35" t="n">
        <v>0</v>
      </c>
      <c r="H51" s="35" t="n">
        <v>2586</v>
      </c>
      <c r="I51" s="28" t="str">
        <f aca="false">INDEX(Campaigns!$C$2:$C$31,MATCH(B51,Campaigns!$A$2:$A$31,0))</f>
        <v>Email</v>
      </c>
      <c r="J51" s="40" t="n">
        <f aca="false">DATE(YEAR(A51),MONTH(A51),1)</f>
        <v>46204</v>
      </c>
    </row>
    <row r="52" customFormat="false" ht="15" hidden="false" customHeight="false" outlineLevel="0" collapsed="false">
      <c r="A52" s="34" t="n">
        <v>46217</v>
      </c>
      <c r="B52" s="28" t="s">
        <v>134</v>
      </c>
      <c r="C52" s="35" t="n">
        <v>2417</v>
      </c>
      <c r="D52" s="35" t="n">
        <v>151</v>
      </c>
      <c r="E52" s="35" t="n">
        <v>4</v>
      </c>
      <c r="F52" s="35" t="n">
        <v>13</v>
      </c>
      <c r="G52" s="35" t="n">
        <v>44340</v>
      </c>
      <c r="H52" s="35" t="n">
        <v>3692</v>
      </c>
      <c r="I52" s="28" t="str">
        <f aca="false">INDEX(Campaigns!$C$2:$C$31,MATCH(B52,Campaigns!$A$2:$A$31,0))</f>
        <v>WhatsApp Broadcast</v>
      </c>
      <c r="J52" s="40" t="n">
        <f aca="false">DATE(YEAR(A52),MONTH(A52),1)</f>
        <v>46204</v>
      </c>
    </row>
    <row r="53" customFormat="false" ht="15" hidden="false" customHeight="false" outlineLevel="0" collapsed="false">
      <c r="A53" s="34" t="n">
        <v>46217</v>
      </c>
      <c r="B53" s="28" t="s">
        <v>150</v>
      </c>
      <c r="C53" s="35" t="n">
        <v>29858</v>
      </c>
      <c r="D53" s="35" t="n">
        <v>265</v>
      </c>
      <c r="E53" s="35" t="n">
        <v>12</v>
      </c>
      <c r="F53" s="35" t="n">
        <v>4</v>
      </c>
      <c r="G53" s="35" t="n">
        <v>15280</v>
      </c>
      <c r="H53" s="35" t="n">
        <v>19525</v>
      </c>
      <c r="I53" s="28" t="str">
        <f aca="false">INDEX(Campaigns!$C$2:$C$31,MATCH(B53,Campaigns!$A$2:$A$31,0))</f>
        <v>Influencer Partnerships</v>
      </c>
      <c r="J53" s="40" t="n">
        <f aca="false">DATE(YEAR(A53),MONTH(A53),1)</f>
        <v>46204</v>
      </c>
    </row>
    <row r="54" customFormat="false" ht="15" hidden="false" customHeight="false" outlineLevel="0" collapsed="false">
      <c r="A54" s="34" t="n">
        <v>46217</v>
      </c>
      <c r="B54" s="28" t="s">
        <v>156</v>
      </c>
      <c r="C54" s="35" t="n">
        <v>48883</v>
      </c>
      <c r="D54" s="35" t="n">
        <v>434</v>
      </c>
      <c r="E54" s="35" t="n">
        <v>68</v>
      </c>
      <c r="F54" s="35" t="n">
        <v>15</v>
      </c>
      <c r="G54" s="35" t="n">
        <v>42350</v>
      </c>
      <c r="H54" s="35" t="n">
        <v>8109</v>
      </c>
      <c r="I54" s="28" t="str">
        <f aca="false">INDEX(Campaigns!$C$2:$C$31,MATCH(B54,Campaigns!$A$2:$A$31,0))</f>
        <v>TikTok Ads</v>
      </c>
      <c r="J54" s="40" t="n">
        <f aca="false">DATE(YEAR(A54),MONTH(A54),1)</f>
        <v>46204</v>
      </c>
    </row>
    <row r="55" customFormat="false" ht="15" hidden="false" customHeight="false" outlineLevel="0" collapsed="false">
      <c r="A55" s="34" t="n">
        <v>46217</v>
      </c>
      <c r="B55" s="28" t="s">
        <v>159</v>
      </c>
      <c r="C55" s="35" t="n">
        <v>20400</v>
      </c>
      <c r="D55" s="35" t="n">
        <v>279</v>
      </c>
      <c r="E55" s="35" t="n">
        <v>33</v>
      </c>
      <c r="F55" s="35" t="n">
        <v>5</v>
      </c>
      <c r="G55" s="35" t="n">
        <v>17450</v>
      </c>
      <c r="H55" s="35" t="n">
        <v>5472</v>
      </c>
      <c r="I55" s="28" t="str">
        <f aca="false">INDEX(Campaigns!$C$2:$C$31,MATCH(B55,Campaigns!$A$2:$A$31,0))</f>
        <v>Facebook &amp; Instagram Ads</v>
      </c>
      <c r="J55" s="40" t="n">
        <f aca="false">DATE(YEAR(A55),MONTH(A55),1)</f>
        <v>46204</v>
      </c>
    </row>
    <row r="56" customFormat="false" ht="15" hidden="false" customHeight="false" outlineLevel="0" collapsed="false">
      <c r="A56" s="34" t="n">
        <v>46217</v>
      </c>
      <c r="B56" s="28" t="s">
        <v>163</v>
      </c>
      <c r="C56" s="35" t="n">
        <v>1535</v>
      </c>
      <c r="D56" s="35" t="n">
        <v>47</v>
      </c>
      <c r="E56" s="35" t="n">
        <v>0</v>
      </c>
      <c r="F56" s="35" t="n">
        <v>1</v>
      </c>
      <c r="G56" s="35" t="n">
        <v>2470</v>
      </c>
      <c r="H56" s="35" t="n">
        <v>559</v>
      </c>
      <c r="I56" s="28" t="str">
        <f aca="false">INDEX(Campaigns!$C$2:$C$31,MATCH(B56,Campaigns!$A$2:$A$31,0))</f>
        <v>Email</v>
      </c>
      <c r="J56" s="40" t="n">
        <f aca="false">DATE(YEAR(A56),MONTH(A56),1)</f>
        <v>46204</v>
      </c>
    </row>
    <row r="57" customFormat="false" ht="15" hidden="false" customHeight="false" outlineLevel="0" collapsed="false">
      <c r="A57" s="34" t="n">
        <v>46218</v>
      </c>
      <c r="B57" s="28" t="s">
        <v>105</v>
      </c>
      <c r="C57" s="35" t="n">
        <v>6701</v>
      </c>
      <c r="D57" s="35" t="n">
        <v>245</v>
      </c>
      <c r="E57" s="35" t="n">
        <v>8</v>
      </c>
      <c r="F57" s="35" t="n">
        <v>4</v>
      </c>
      <c r="G57" s="35" t="n">
        <v>12740</v>
      </c>
      <c r="H57" s="35" t="n">
        <v>5485</v>
      </c>
      <c r="I57" s="28" t="str">
        <f aca="false">INDEX(Campaigns!$C$2:$C$31,MATCH(B57,Campaigns!$A$2:$A$31,0))</f>
        <v>Google Search Ads</v>
      </c>
      <c r="J57" s="40" t="n">
        <f aca="false">DATE(YEAR(A57),MONTH(A57),1)</f>
        <v>46204</v>
      </c>
    </row>
    <row r="58" customFormat="false" ht="15" hidden="false" customHeight="false" outlineLevel="0" collapsed="false">
      <c r="A58" s="34" t="n">
        <v>46218</v>
      </c>
      <c r="B58" s="28" t="s">
        <v>108</v>
      </c>
      <c r="C58" s="35" t="n">
        <v>6239</v>
      </c>
      <c r="D58" s="35" t="n">
        <v>198</v>
      </c>
      <c r="E58" s="35" t="n">
        <v>8</v>
      </c>
      <c r="F58" s="35" t="n">
        <v>7</v>
      </c>
      <c r="G58" s="35" t="n">
        <v>24260</v>
      </c>
      <c r="H58" s="35" t="n">
        <v>2293</v>
      </c>
      <c r="I58" s="28" t="str">
        <f aca="false">INDEX(Campaigns!$C$2:$C$31,MATCH(B58,Campaigns!$A$2:$A$31,0))</f>
        <v>Email</v>
      </c>
      <c r="J58" s="40" t="n">
        <f aca="false">DATE(YEAR(A58),MONTH(A58),1)</f>
        <v>46204</v>
      </c>
    </row>
    <row r="59" customFormat="false" ht="15" hidden="false" customHeight="false" outlineLevel="0" collapsed="false">
      <c r="A59" s="34" t="n">
        <v>46218</v>
      </c>
      <c r="B59" s="28" t="s">
        <v>112</v>
      </c>
      <c r="C59" s="35" t="n">
        <v>1183</v>
      </c>
      <c r="D59" s="35" t="n">
        <v>71</v>
      </c>
      <c r="E59" s="35" t="n">
        <v>3</v>
      </c>
      <c r="F59" s="35" t="n">
        <v>4</v>
      </c>
      <c r="G59" s="35" t="n">
        <v>7960</v>
      </c>
      <c r="H59" s="35" t="n">
        <v>1604</v>
      </c>
      <c r="I59" s="28" t="str">
        <f aca="false">INDEX(Campaigns!$C$2:$C$31,MATCH(B59,Campaigns!$A$2:$A$31,0))</f>
        <v>WhatsApp Broadcast</v>
      </c>
      <c r="J59" s="40" t="n">
        <f aca="false">DATE(YEAR(A59),MONTH(A59),1)</f>
        <v>46204</v>
      </c>
    </row>
    <row r="60" customFormat="false" ht="15" hidden="false" customHeight="false" outlineLevel="0" collapsed="false">
      <c r="A60" s="34" t="n">
        <v>46218</v>
      </c>
      <c r="B60" s="28" t="s">
        <v>120</v>
      </c>
      <c r="C60" s="35" t="n">
        <v>69683</v>
      </c>
      <c r="D60" s="35" t="n">
        <v>560</v>
      </c>
      <c r="E60" s="35" t="n">
        <v>16</v>
      </c>
      <c r="F60" s="35" t="n">
        <v>3</v>
      </c>
      <c r="G60" s="35" t="n">
        <v>7740</v>
      </c>
      <c r="H60" s="35" t="n">
        <v>13471</v>
      </c>
      <c r="I60" s="28" t="str">
        <f aca="false">INDEX(Campaigns!$C$2:$C$31,MATCH(B60,Campaigns!$A$2:$A$31,0))</f>
        <v>TikTok Ads</v>
      </c>
      <c r="J60" s="40" t="n">
        <f aca="false">DATE(YEAR(A60),MONTH(A60),1)</f>
        <v>46204</v>
      </c>
    </row>
    <row r="61" customFormat="false" ht="15" hidden="false" customHeight="false" outlineLevel="0" collapsed="false">
      <c r="A61" s="34" t="n">
        <v>46218</v>
      </c>
      <c r="B61" s="28" t="s">
        <v>124</v>
      </c>
      <c r="C61" s="35" t="n">
        <v>6906</v>
      </c>
      <c r="D61" s="35" t="n">
        <v>179</v>
      </c>
      <c r="E61" s="35" t="n">
        <v>4</v>
      </c>
      <c r="F61" s="35" t="n">
        <v>2</v>
      </c>
      <c r="G61" s="35" t="n">
        <v>7190</v>
      </c>
      <c r="H61" s="35" t="n">
        <v>2637</v>
      </c>
      <c r="I61" s="28" t="str">
        <f aca="false">INDEX(Campaigns!$C$2:$C$31,MATCH(B61,Campaigns!$A$2:$A$31,0))</f>
        <v>Email</v>
      </c>
      <c r="J61" s="40" t="n">
        <f aca="false">DATE(YEAR(A61),MONTH(A61),1)</f>
        <v>46204</v>
      </c>
    </row>
    <row r="62" customFormat="false" ht="15" hidden="false" customHeight="false" outlineLevel="0" collapsed="false">
      <c r="A62" s="34" t="n">
        <v>46218</v>
      </c>
      <c r="B62" s="28" t="s">
        <v>134</v>
      </c>
      <c r="C62" s="35" t="n">
        <v>2440</v>
      </c>
      <c r="D62" s="35" t="n">
        <v>154</v>
      </c>
      <c r="E62" s="35" t="n">
        <v>8</v>
      </c>
      <c r="F62" s="35" t="n">
        <v>15</v>
      </c>
      <c r="G62" s="35" t="n">
        <v>40020</v>
      </c>
      <c r="H62" s="35" t="n">
        <v>3185</v>
      </c>
      <c r="I62" s="28" t="str">
        <f aca="false">INDEX(Campaigns!$C$2:$C$31,MATCH(B62,Campaigns!$A$2:$A$31,0))</f>
        <v>WhatsApp Broadcast</v>
      </c>
      <c r="J62" s="40" t="n">
        <f aca="false">DATE(YEAR(A62),MONTH(A62),1)</f>
        <v>46204</v>
      </c>
    </row>
    <row r="63" customFormat="false" ht="15" hidden="false" customHeight="false" outlineLevel="0" collapsed="false">
      <c r="A63" s="34" t="n">
        <v>46218</v>
      </c>
      <c r="B63" s="28" t="s">
        <v>150</v>
      </c>
      <c r="C63" s="35" t="n">
        <v>39015</v>
      </c>
      <c r="D63" s="35" t="n">
        <v>356</v>
      </c>
      <c r="E63" s="35" t="n">
        <v>14</v>
      </c>
      <c r="F63" s="35" t="n">
        <v>6</v>
      </c>
      <c r="G63" s="35" t="n">
        <v>19740</v>
      </c>
      <c r="H63" s="35" t="n">
        <v>21398</v>
      </c>
      <c r="I63" s="28" t="str">
        <f aca="false">INDEX(Campaigns!$C$2:$C$31,MATCH(B63,Campaigns!$A$2:$A$31,0))</f>
        <v>Influencer Partnerships</v>
      </c>
      <c r="J63" s="40" t="n">
        <f aca="false">DATE(YEAR(A63),MONTH(A63),1)</f>
        <v>46204</v>
      </c>
    </row>
    <row r="64" customFormat="false" ht="15" hidden="false" customHeight="false" outlineLevel="0" collapsed="false">
      <c r="A64" s="34" t="n">
        <v>46218</v>
      </c>
      <c r="B64" s="28" t="s">
        <v>156</v>
      </c>
      <c r="C64" s="35" t="n">
        <v>40482</v>
      </c>
      <c r="D64" s="35" t="n">
        <v>364</v>
      </c>
      <c r="E64" s="35" t="n">
        <v>53</v>
      </c>
      <c r="F64" s="35" t="n">
        <v>10</v>
      </c>
      <c r="G64" s="35" t="n">
        <v>25440</v>
      </c>
      <c r="H64" s="35" t="n">
        <v>7294</v>
      </c>
      <c r="I64" s="28" t="str">
        <f aca="false">INDEX(Campaigns!$C$2:$C$31,MATCH(B64,Campaigns!$A$2:$A$31,0))</f>
        <v>TikTok Ads</v>
      </c>
      <c r="J64" s="40" t="n">
        <f aca="false">DATE(YEAR(A64),MONTH(A64),1)</f>
        <v>46204</v>
      </c>
    </row>
    <row r="65" customFormat="false" ht="15" hidden="false" customHeight="false" outlineLevel="0" collapsed="false">
      <c r="A65" s="34" t="n">
        <v>46218</v>
      </c>
      <c r="B65" s="28" t="s">
        <v>163</v>
      </c>
      <c r="C65" s="35" t="n">
        <v>1712</v>
      </c>
      <c r="D65" s="35" t="n">
        <v>67</v>
      </c>
      <c r="E65" s="35" t="n">
        <v>3</v>
      </c>
      <c r="F65" s="35" t="n">
        <v>1</v>
      </c>
      <c r="G65" s="35" t="n">
        <v>3320</v>
      </c>
      <c r="H65" s="35" t="n">
        <v>549</v>
      </c>
      <c r="I65" s="28" t="str">
        <f aca="false">INDEX(Campaigns!$C$2:$C$31,MATCH(B65,Campaigns!$A$2:$A$31,0))</f>
        <v>Email</v>
      </c>
      <c r="J65" s="40" t="n">
        <f aca="false">DATE(YEAR(A65),MONTH(A65),1)</f>
        <v>46204</v>
      </c>
    </row>
    <row r="66" customFormat="false" ht="15" hidden="false" customHeight="false" outlineLevel="0" collapsed="false">
      <c r="A66" s="34" t="n">
        <v>46219</v>
      </c>
      <c r="B66" s="28" t="s">
        <v>105</v>
      </c>
      <c r="C66" s="35" t="n">
        <v>4973</v>
      </c>
      <c r="D66" s="35" t="n">
        <v>198</v>
      </c>
      <c r="E66" s="35" t="n">
        <v>8</v>
      </c>
      <c r="F66" s="35" t="n">
        <v>3</v>
      </c>
      <c r="G66" s="35" t="n">
        <v>11640</v>
      </c>
      <c r="H66" s="35" t="n">
        <v>4545</v>
      </c>
      <c r="I66" s="28" t="str">
        <f aca="false">INDEX(Campaigns!$C$2:$C$31,MATCH(B66,Campaigns!$A$2:$A$31,0))</f>
        <v>Google Search Ads</v>
      </c>
      <c r="J66" s="40" t="n">
        <f aca="false">DATE(YEAR(A66),MONTH(A66),1)</f>
        <v>46204</v>
      </c>
    </row>
    <row r="67" customFormat="false" ht="15" hidden="false" customHeight="false" outlineLevel="0" collapsed="false">
      <c r="A67" s="34" t="n">
        <v>46219</v>
      </c>
      <c r="B67" s="28" t="s">
        <v>108</v>
      </c>
      <c r="C67" s="35" t="n">
        <v>6264</v>
      </c>
      <c r="D67" s="35" t="n">
        <v>210</v>
      </c>
      <c r="E67" s="35" t="n">
        <v>4</v>
      </c>
      <c r="F67" s="35" t="n">
        <v>8</v>
      </c>
      <c r="G67" s="35" t="n">
        <v>25840</v>
      </c>
      <c r="H67" s="35" t="n">
        <v>2270</v>
      </c>
      <c r="I67" s="28" t="str">
        <f aca="false">INDEX(Campaigns!$C$2:$C$31,MATCH(B67,Campaigns!$A$2:$A$31,0))</f>
        <v>Email</v>
      </c>
      <c r="J67" s="40" t="n">
        <f aca="false">DATE(YEAR(A67),MONTH(A67),1)</f>
        <v>46204</v>
      </c>
    </row>
    <row r="68" customFormat="false" ht="15" hidden="false" customHeight="false" outlineLevel="0" collapsed="false">
      <c r="A68" s="34" t="n">
        <v>46219</v>
      </c>
      <c r="B68" s="28" t="s">
        <v>112</v>
      </c>
      <c r="C68" s="35" t="n">
        <v>1124</v>
      </c>
      <c r="D68" s="35" t="n">
        <v>57</v>
      </c>
      <c r="E68" s="35" t="n">
        <v>5</v>
      </c>
      <c r="F68" s="35" t="n">
        <v>3</v>
      </c>
      <c r="G68" s="35" t="n">
        <v>7360</v>
      </c>
      <c r="H68" s="35" t="n">
        <v>1486</v>
      </c>
      <c r="I68" s="28" t="str">
        <f aca="false">INDEX(Campaigns!$C$2:$C$31,MATCH(B68,Campaigns!$A$2:$A$31,0))</f>
        <v>WhatsApp Broadcast</v>
      </c>
      <c r="J68" s="40" t="n">
        <f aca="false">DATE(YEAR(A68),MONTH(A68),1)</f>
        <v>46204</v>
      </c>
    </row>
    <row r="69" customFormat="false" ht="15" hidden="false" customHeight="false" outlineLevel="0" collapsed="false">
      <c r="A69" s="34" t="n">
        <v>46219</v>
      </c>
      <c r="B69" s="28" t="s">
        <v>120</v>
      </c>
      <c r="C69" s="35" t="n">
        <v>76110</v>
      </c>
      <c r="D69" s="35" t="n">
        <v>605</v>
      </c>
      <c r="E69" s="35" t="n">
        <v>25</v>
      </c>
      <c r="F69" s="35" t="n">
        <v>7</v>
      </c>
      <c r="G69" s="35" t="n">
        <v>21410</v>
      </c>
      <c r="H69" s="35" t="n">
        <v>14633</v>
      </c>
      <c r="I69" s="28" t="str">
        <f aca="false">INDEX(Campaigns!$C$2:$C$31,MATCH(B69,Campaigns!$A$2:$A$31,0))</f>
        <v>TikTok Ads</v>
      </c>
      <c r="J69" s="40" t="n">
        <f aca="false">DATE(YEAR(A69),MONTH(A69),1)</f>
        <v>46204</v>
      </c>
    </row>
    <row r="70" customFormat="false" ht="15" hidden="false" customHeight="false" outlineLevel="0" collapsed="false">
      <c r="A70" s="34" t="n">
        <v>46219</v>
      </c>
      <c r="B70" s="28" t="s">
        <v>124</v>
      </c>
      <c r="C70" s="35" t="n">
        <v>6434</v>
      </c>
      <c r="D70" s="35" t="n">
        <v>157</v>
      </c>
      <c r="E70" s="35" t="n">
        <v>5</v>
      </c>
      <c r="F70" s="35" t="n">
        <v>4</v>
      </c>
      <c r="G70" s="35" t="n">
        <v>16360</v>
      </c>
      <c r="H70" s="35" t="n">
        <v>2177</v>
      </c>
      <c r="I70" s="28" t="str">
        <f aca="false">INDEX(Campaigns!$C$2:$C$31,MATCH(B70,Campaigns!$A$2:$A$31,0))</f>
        <v>Email</v>
      </c>
      <c r="J70" s="40" t="n">
        <f aca="false">DATE(YEAR(A70),MONTH(A70),1)</f>
        <v>46204</v>
      </c>
    </row>
    <row r="71" customFormat="false" ht="15" hidden="false" customHeight="false" outlineLevel="0" collapsed="false">
      <c r="A71" s="34" t="n">
        <v>46219</v>
      </c>
      <c r="B71" s="28" t="s">
        <v>134</v>
      </c>
      <c r="C71" s="35" t="n">
        <v>1908</v>
      </c>
      <c r="D71" s="35" t="n">
        <v>119</v>
      </c>
      <c r="E71" s="35" t="n">
        <v>6</v>
      </c>
      <c r="F71" s="35" t="n">
        <v>6</v>
      </c>
      <c r="G71" s="35" t="n">
        <v>18080</v>
      </c>
      <c r="H71" s="35" t="n">
        <v>2935</v>
      </c>
      <c r="I71" s="28" t="str">
        <f aca="false">INDEX(Campaigns!$C$2:$C$31,MATCH(B71,Campaigns!$A$2:$A$31,0))</f>
        <v>WhatsApp Broadcast</v>
      </c>
      <c r="J71" s="40" t="n">
        <f aca="false">DATE(YEAR(A71),MONTH(A71),1)</f>
        <v>46204</v>
      </c>
    </row>
    <row r="72" customFormat="false" ht="15" hidden="false" customHeight="false" outlineLevel="0" collapsed="false">
      <c r="A72" s="34" t="n">
        <v>46219</v>
      </c>
      <c r="B72" s="28" t="s">
        <v>150</v>
      </c>
      <c r="C72" s="35" t="n">
        <v>31150</v>
      </c>
      <c r="D72" s="35" t="n">
        <v>257</v>
      </c>
      <c r="E72" s="35" t="n">
        <v>9</v>
      </c>
      <c r="F72" s="35" t="n">
        <v>2</v>
      </c>
      <c r="G72" s="35" t="n">
        <v>10580</v>
      </c>
      <c r="H72" s="35" t="n">
        <v>18173</v>
      </c>
      <c r="I72" s="28" t="str">
        <f aca="false">INDEX(Campaigns!$C$2:$C$31,MATCH(B72,Campaigns!$A$2:$A$31,0))</f>
        <v>Influencer Partnerships</v>
      </c>
      <c r="J72" s="40" t="n">
        <f aca="false">DATE(YEAR(A72),MONTH(A72),1)</f>
        <v>46204</v>
      </c>
    </row>
    <row r="73" customFormat="false" ht="15" hidden="false" customHeight="false" outlineLevel="0" collapsed="false">
      <c r="A73" s="34" t="n">
        <v>46219</v>
      </c>
      <c r="B73" s="28" t="s">
        <v>156</v>
      </c>
      <c r="C73" s="35" t="n">
        <v>47102</v>
      </c>
      <c r="D73" s="35" t="n">
        <v>478</v>
      </c>
      <c r="E73" s="35" t="n">
        <v>70</v>
      </c>
      <c r="F73" s="35" t="n">
        <v>12</v>
      </c>
      <c r="G73" s="35" t="n">
        <v>29170</v>
      </c>
      <c r="H73" s="35" t="n">
        <v>8611</v>
      </c>
      <c r="I73" s="28" t="str">
        <f aca="false">INDEX(Campaigns!$C$2:$C$31,MATCH(B73,Campaigns!$A$2:$A$31,0))</f>
        <v>TikTok Ads</v>
      </c>
      <c r="J73" s="40" t="n">
        <f aca="false">DATE(YEAR(A73),MONTH(A73),1)</f>
        <v>46204</v>
      </c>
    </row>
    <row r="74" customFormat="false" ht="15" hidden="false" customHeight="false" outlineLevel="0" collapsed="false">
      <c r="A74" s="34" t="n">
        <v>46219</v>
      </c>
      <c r="B74" s="28" t="s">
        <v>159</v>
      </c>
      <c r="C74" s="35" t="n">
        <v>24020</v>
      </c>
      <c r="D74" s="35" t="n">
        <v>367</v>
      </c>
      <c r="E74" s="35" t="n">
        <v>51</v>
      </c>
      <c r="F74" s="35" t="n">
        <v>9</v>
      </c>
      <c r="G74" s="35" t="n">
        <v>31080</v>
      </c>
      <c r="H74" s="35" t="n">
        <v>5734</v>
      </c>
      <c r="I74" s="28" t="str">
        <f aca="false">INDEX(Campaigns!$C$2:$C$31,MATCH(B74,Campaigns!$A$2:$A$31,0))</f>
        <v>Facebook &amp; Instagram Ads</v>
      </c>
      <c r="J74" s="40" t="n">
        <f aca="false">DATE(YEAR(A74),MONTH(A74),1)</f>
        <v>46204</v>
      </c>
    </row>
    <row r="75" customFormat="false" ht="15" hidden="false" customHeight="false" outlineLevel="0" collapsed="false">
      <c r="A75" s="34" t="n">
        <v>46220</v>
      </c>
      <c r="B75" s="28" t="s">
        <v>108</v>
      </c>
      <c r="C75" s="35" t="n">
        <v>6966</v>
      </c>
      <c r="D75" s="35" t="n">
        <v>236</v>
      </c>
      <c r="E75" s="35" t="n">
        <v>6</v>
      </c>
      <c r="F75" s="35" t="n">
        <v>8</v>
      </c>
      <c r="G75" s="35" t="n">
        <v>23190</v>
      </c>
      <c r="H75" s="35" t="n">
        <v>2471</v>
      </c>
      <c r="I75" s="28" t="str">
        <f aca="false">INDEX(Campaigns!$C$2:$C$31,MATCH(B75,Campaigns!$A$2:$A$31,0))</f>
        <v>Email</v>
      </c>
      <c r="J75" s="40" t="n">
        <f aca="false">DATE(YEAR(A75),MONTH(A75),1)</f>
        <v>46204</v>
      </c>
    </row>
    <row r="76" customFormat="false" ht="15" hidden="false" customHeight="false" outlineLevel="0" collapsed="false">
      <c r="A76" s="34" t="n">
        <v>46220</v>
      </c>
      <c r="B76" s="28" t="s">
        <v>112</v>
      </c>
      <c r="C76" s="35" t="n">
        <v>1009</v>
      </c>
      <c r="D76" s="35" t="n">
        <v>58</v>
      </c>
      <c r="E76" s="35" t="n">
        <v>2</v>
      </c>
      <c r="F76" s="35" t="n">
        <v>2</v>
      </c>
      <c r="G76" s="35" t="n">
        <v>6900</v>
      </c>
      <c r="H76" s="35" t="n">
        <v>1437</v>
      </c>
      <c r="I76" s="28" t="str">
        <f aca="false">INDEX(Campaigns!$C$2:$C$31,MATCH(B76,Campaigns!$A$2:$A$31,0))</f>
        <v>WhatsApp Broadcast</v>
      </c>
      <c r="J76" s="40" t="n">
        <f aca="false">DATE(YEAR(A76),MONTH(A76),1)</f>
        <v>46204</v>
      </c>
    </row>
    <row r="77" customFormat="false" ht="15" hidden="false" customHeight="false" outlineLevel="0" collapsed="false">
      <c r="A77" s="34" t="n">
        <v>46220</v>
      </c>
      <c r="B77" s="28" t="s">
        <v>120</v>
      </c>
      <c r="C77" s="35" t="n">
        <v>80197</v>
      </c>
      <c r="D77" s="35" t="n">
        <v>620</v>
      </c>
      <c r="E77" s="35" t="n">
        <v>24</v>
      </c>
      <c r="F77" s="35" t="n">
        <v>5</v>
      </c>
      <c r="G77" s="35" t="n">
        <v>14410</v>
      </c>
      <c r="H77" s="35" t="n">
        <v>13620</v>
      </c>
      <c r="I77" s="28" t="str">
        <f aca="false">INDEX(Campaigns!$C$2:$C$31,MATCH(B77,Campaigns!$A$2:$A$31,0))</f>
        <v>TikTok Ads</v>
      </c>
      <c r="J77" s="40" t="n">
        <f aca="false">DATE(YEAR(A77),MONTH(A77),1)</f>
        <v>46204</v>
      </c>
    </row>
    <row r="78" customFormat="false" ht="15" hidden="false" customHeight="false" outlineLevel="0" collapsed="false">
      <c r="A78" s="34" t="n">
        <v>46220</v>
      </c>
      <c r="B78" s="28" t="s">
        <v>124</v>
      </c>
      <c r="C78" s="35" t="n">
        <v>8800</v>
      </c>
      <c r="D78" s="35" t="n">
        <v>196</v>
      </c>
      <c r="E78" s="35" t="n">
        <v>10</v>
      </c>
      <c r="F78" s="35" t="n">
        <v>8</v>
      </c>
      <c r="G78" s="35" t="n">
        <v>21490</v>
      </c>
      <c r="H78" s="35" t="n">
        <v>2851</v>
      </c>
      <c r="I78" s="28" t="str">
        <f aca="false">INDEX(Campaigns!$C$2:$C$31,MATCH(B78,Campaigns!$A$2:$A$31,0))</f>
        <v>Email</v>
      </c>
      <c r="J78" s="40" t="n">
        <f aca="false">DATE(YEAR(A78),MONTH(A78),1)</f>
        <v>46204</v>
      </c>
    </row>
    <row r="79" customFormat="false" ht="15" hidden="false" customHeight="false" outlineLevel="0" collapsed="false">
      <c r="A79" s="34" t="n">
        <v>46220</v>
      </c>
      <c r="B79" s="28" t="s">
        <v>134</v>
      </c>
      <c r="C79" s="35" t="n">
        <v>2289</v>
      </c>
      <c r="D79" s="35" t="n">
        <v>148</v>
      </c>
      <c r="E79" s="35" t="n">
        <v>10</v>
      </c>
      <c r="F79" s="35" t="n">
        <v>21</v>
      </c>
      <c r="G79" s="35" t="n">
        <v>56070</v>
      </c>
      <c r="H79" s="35" t="n">
        <v>3116</v>
      </c>
      <c r="I79" s="28" t="str">
        <f aca="false">INDEX(Campaigns!$C$2:$C$31,MATCH(B79,Campaigns!$A$2:$A$31,0))</f>
        <v>WhatsApp Broadcast</v>
      </c>
      <c r="J79" s="40" t="n">
        <f aca="false">DATE(YEAR(A79),MONTH(A79),1)</f>
        <v>46204</v>
      </c>
    </row>
    <row r="80" customFormat="false" ht="15" hidden="false" customHeight="false" outlineLevel="0" collapsed="false">
      <c r="A80" s="34" t="n">
        <v>46220</v>
      </c>
      <c r="B80" s="28" t="s">
        <v>150</v>
      </c>
      <c r="C80" s="35" t="n">
        <v>38530</v>
      </c>
      <c r="D80" s="35" t="n">
        <v>324</v>
      </c>
      <c r="E80" s="35" t="n">
        <v>12</v>
      </c>
      <c r="F80" s="35" t="n">
        <v>3</v>
      </c>
      <c r="G80" s="35" t="n">
        <v>10240</v>
      </c>
      <c r="H80" s="35" t="n">
        <v>22781</v>
      </c>
      <c r="I80" s="28" t="str">
        <f aca="false">INDEX(Campaigns!$C$2:$C$31,MATCH(B80,Campaigns!$A$2:$A$31,0))</f>
        <v>Influencer Partnerships</v>
      </c>
      <c r="J80" s="40" t="n">
        <f aca="false">DATE(YEAR(A80),MONTH(A80),1)</f>
        <v>46204</v>
      </c>
    </row>
    <row r="81" customFormat="false" ht="15" hidden="false" customHeight="false" outlineLevel="0" collapsed="false">
      <c r="A81" s="34" t="n">
        <v>46220</v>
      </c>
      <c r="B81" s="28" t="s">
        <v>156</v>
      </c>
      <c r="C81" s="35" t="n">
        <v>42137</v>
      </c>
      <c r="D81" s="35" t="n">
        <v>373</v>
      </c>
      <c r="E81" s="35" t="n">
        <v>54</v>
      </c>
      <c r="F81" s="35" t="n">
        <v>4</v>
      </c>
      <c r="G81" s="35" t="n">
        <v>10140</v>
      </c>
      <c r="H81" s="35" t="n">
        <v>7923</v>
      </c>
      <c r="I81" s="28" t="str">
        <f aca="false">INDEX(Campaigns!$C$2:$C$31,MATCH(B81,Campaigns!$A$2:$A$31,0))</f>
        <v>TikTok Ads</v>
      </c>
      <c r="J81" s="40" t="n">
        <f aca="false">DATE(YEAR(A81),MONTH(A81),1)</f>
        <v>46204</v>
      </c>
    </row>
    <row r="82" customFormat="false" ht="15" hidden="false" customHeight="false" outlineLevel="0" collapsed="false">
      <c r="A82" s="34" t="n">
        <v>46220</v>
      </c>
      <c r="B82" s="28" t="s">
        <v>159</v>
      </c>
      <c r="C82" s="35" t="n">
        <v>32798</v>
      </c>
      <c r="D82" s="35" t="n">
        <v>446</v>
      </c>
      <c r="E82" s="35" t="n">
        <v>66</v>
      </c>
      <c r="F82" s="35" t="n">
        <v>7</v>
      </c>
      <c r="G82" s="35" t="n">
        <v>20890</v>
      </c>
      <c r="H82" s="35" t="n">
        <v>7922</v>
      </c>
      <c r="I82" s="28" t="str">
        <f aca="false">INDEX(Campaigns!$C$2:$C$31,MATCH(B82,Campaigns!$A$2:$A$31,0))</f>
        <v>Facebook &amp; Instagram Ads</v>
      </c>
      <c r="J82" s="40" t="n">
        <f aca="false">DATE(YEAR(A82),MONTH(A82),1)</f>
        <v>46204</v>
      </c>
    </row>
    <row r="83" customFormat="false" ht="15" hidden="false" customHeight="false" outlineLevel="0" collapsed="false">
      <c r="A83" s="34" t="n">
        <v>46220</v>
      </c>
      <c r="B83" s="28" t="s">
        <v>163</v>
      </c>
      <c r="C83" s="35" t="n">
        <v>1668</v>
      </c>
      <c r="D83" s="35" t="n">
        <v>51</v>
      </c>
      <c r="E83" s="35" t="n">
        <v>3</v>
      </c>
      <c r="F83" s="35" t="n">
        <v>1</v>
      </c>
      <c r="G83" s="35" t="n">
        <v>3200</v>
      </c>
      <c r="H83" s="35" t="n">
        <v>551</v>
      </c>
      <c r="I83" s="28" t="str">
        <f aca="false">INDEX(Campaigns!$C$2:$C$31,MATCH(B83,Campaigns!$A$2:$A$31,0))</f>
        <v>Email</v>
      </c>
      <c r="J83" s="40" t="n">
        <f aca="false">DATE(YEAR(A83),MONTH(A83),1)</f>
        <v>46204</v>
      </c>
    </row>
    <row r="84" customFormat="false" ht="15" hidden="false" customHeight="false" outlineLevel="0" collapsed="false">
      <c r="A84" s="34" t="n">
        <v>46221</v>
      </c>
      <c r="B84" s="28" t="s">
        <v>105</v>
      </c>
      <c r="C84" s="35" t="n">
        <v>6109</v>
      </c>
      <c r="D84" s="35" t="n">
        <v>227</v>
      </c>
      <c r="E84" s="35" t="n">
        <v>5</v>
      </c>
      <c r="F84" s="35" t="n">
        <v>8</v>
      </c>
      <c r="G84" s="35" t="n">
        <v>28720</v>
      </c>
      <c r="H84" s="35" t="n">
        <v>5381</v>
      </c>
      <c r="I84" s="28" t="str">
        <f aca="false">INDEX(Campaigns!$C$2:$C$31,MATCH(B84,Campaigns!$A$2:$A$31,0))</f>
        <v>Google Search Ads</v>
      </c>
      <c r="J84" s="40" t="n">
        <f aca="false">DATE(YEAR(A84),MONTH(A84),1)</f>
        <v>46204</v>
      </c>
    </row>
    <row r="85" customFormat="false" ht="15" hidden="false" customHeight="false" outlineLevel="0" collapsed="false">
      <c r="A85" s="34" t="n">
        <v>46221</v>
      </c>
      <c r="B85" s="28" t="s">
        <v>108</v>
      </c>
      <c r="C85" s="35" t="n">
        <v>8021</v>
      </c>
      <c r="D85" s="35" t="n">
        <v>282</v>
      </c>
      <c r="E85" s="35" t="n">
        <v>11</v>
      </c>
      <c r="F85" s="35" t="n">
        <v>14</v>
      </c>
      <c r="G85" s="35" t="n">
        <v>44530</v>
      </c>
      <c r="H85" s="35" t="n">
        <v>2947</v>
      </c>
      <c r="I85" s="28" t="str">
        <f aca="false">INDEX(Campaigns!$C$2:$C$31,MATCH(B85,Campaigns!$A$2:$A$31,0))</f>
        <v>Email</v>
      </c>
      <c r="J85" s="40" t="n">
        <f aca="false">DATE(YEAR(A85),MONTH(A85),1)</f>
        <v>46204</v>
      </c>
    </row>
    <row r="86" customFormat="false" ht="15" hidden="false" customHeight="false" outlineLevel="0" collapsed="false">
      <c r="A86" s="34" t="n">
        <v>46221</v>
      </c>
      <c r="B86" s="28" t="s">
        <v>112</v>
      </c>
      <c r="C86" s="35" t="n">
        <v>1276</v>
      </c>
      <c r="D86" s="35" t="n">
        <v>80</v>
      </c>
      <c r="E86" s="35" t="n">
        <v>0</v>
      </c>
      <c r="F86" s="35" t="n">
        <v>4</v>
      </c>
      <c r="G86" s="35" t="n">
        <v>10620</v>
      </c>
      <c r="H86" s="35" t="n">
        <v>1793</v>
      </c>
      <c r="I86" s="28" t="str">
        <f aca="false">INDEX(Campaigns!$C$2:$C$31,MATCH(B86,Campaigns!$A$2:$A$31,0))</f>
        <v>WhatsApp Broadcast</v>
      </c>
      <c r="J86" s="40" t="n">
        <f aca="false">DATE(YEAR(A86),MONTH(A86),1)</f>
        <v>46204</v>
      </c>
    </row>
    <row r="87" customFormat="false" ht="15" hidden="false" customHeight="false" outlineLevel="0" collapsed="false">
      <c r="A87" s="34" t="n">
        <v>46221</v>
      </c>
      <c r="B87" s="28" t="s">
        <v>120</v>
      </c>
      <c r="C87" s="35" t="n">
        <v>88777</v>
      </c>
      <c r="D87" s="35" t="n">
        <v>702</v>
      </c>
      <c r="E87" s="35" t="n">
        <v>30</v>
      </c>
      <c r="F87" s="35" t="n">
        <v>2</v>
      </c>
      <c r="G87" s="35" t="n">
        <v>4280</v>
      </c>
      <c r="H87" s="35" t="n">
        <v>15550</v>
      </c>
      <c r="I87" s="28" t="str">
        <f aca="false">INDEX(Campaigns!$C$2:$C$31,MATCH(B87,Campaigns!$A$2:$A$31,0))</f>
        <v>TikTok Ads</v>
      </c>
      <c r="J87" s="40" t="n">
        <f aca="false">DATE(YEAR(A87),MONTH(A87),1)</f>
        <v>46204</v>
      </c>
    </row>
    <row r="88" customFormat="false" ht="15" hidden="false" customHeight="false" outlineLevel="0" collapsed="false">
      <c r="A88" s="34" t="n">
        <v>46221</v>
      </c>
      <c r="B88" s="28" t="s">
        <v>124</v>
      </c>
      <c r="C88" s="35" t="n">
        <v>9408</v>
      </c>
      <c r="D88" s="35" t="n">
        <v>226</v>
      </c>
      <c r="E88" s="35" t="n">
        <v>10</v>
      </c>
      <c r="F88" s="35" t="n">
        <v>3</v>
      </c>
      <c r="G88" s="35" t="n">
        <v>7550</v>
      </c>
      <c r="H88" s="35" t="n">
        <v>3103</v>
      </c>
      <c r="I88" s="28" t="str">
        <f aca="false">INDEX(Campaigns!$C$2:$C$31,MATCH(B88,Campaigns!$A$2:$A$31,0))</f>
        <v>Email</v>
      </c>
      <c r="J88" s="40" t="n">
        <f aca="false">DATE(YEAR(A88),MONTH(A88),1)</f>
        <v>46204</v>
      </c>
    </row>
    <row r="89" customFormat="false" ht="15" hidden="false" customHeight="false" outlineLevel="0" collapsed="false">
      <c r="A89" s="34" t="n">
        <v>46221</v>
      </c>
      <c r="B89" s="28" t="s">
        <v>128</v>
      </c>
      <c r="C89" s="35" t="n">
        <v>26627</v>
      </c>
      <c r="D89" s="35" t="n">
        <v>1570</v>
      </c>
      <c r="E89" s="35" t="n">
        <v>57</v>
      </c>
      <c r="F89" s="35" t="n">
        <v>87</v>
      </c>
      <c r="G89" s="35" t="n">
        <v>318600</v>
      </c>
      <c r="H89" s="35" t="n">
        <v>24233</v>
      </c>
      <c r="I89" s="28" t="str">
        <f aca="false">INDEX(Campaigns!$C$2:$C$31,MATCH(B89,Campaigns!$A$2:$A$31,0))</f>
        <v>Google Search Ads</v>
      </c>
      <c r="J89" s="40" t="n">
        <f aca="false">DATE(YEAR(A89),MONTH(A89),1)</f>
        <v>46204</v>
      </c>
    </row>
    <row r="90" customFormat="false" ht="15" hidden="false" customHeight="false" outlineLevel="0" collapsed="false">
      <c r="A90" s="34" t="n">
        <v>46221</v>
      </c>
      <c r="B90" s="28" t="s">
        <v>134</v>
      </c>
      <c r="C90" s="35" t="n">
        <v>2649</v>
      </c>
      <c r="D90" s="35" t="n">
        <v>164</v>
      </c>
      <c r="E90" s="35" t="n">
        <v>4</v>
      </c>
      <c r="F90" s="35" t="n">
        <v>8</v>
      </c>
      <c r="G90" s="35" t="n">
        <v>26590</v>
      </c>
      <c r="H90" s="35" t="n">
        <v>3698</v>
      </c>
      <c r="I90" s="28" t="str">
        <f aca="false">INDEX(Campaigns!$C$2:$C$31,MATCH(B90,Campaigns!$A$2:$A$31,0))</f>
        <v>WhatsApp Broadcast</v>
      </c>
      <c r="J90" s="40" t="n">
        <f aca="false">DATE(YEAR(A90),MONTH(A90),1)</f>
        <v>46204</v>
      </c>
    </row>
    <row r="91" customFormat="false" ht="15" hidden="false" customHeight="false" outlineLevel="0" collapsed="false">
      <c r="A91" s="34" t="n">
        <v>46221</v>
      </c>
      <c r="B91" s="28" t="s">
        <v>141</v>
      </c>
      <c r="C91" s="35" t="n">
        <v>7746</v>
      </c>
      <c r="D91" s="35" t="n">
        <v>275</v>
      </c>
      <c r="E91" s="35" t="n">
        <v>8</v>
      </c>
      <c r="F91" s="35" t="n">
        <v>6</v>
      </c>
      <c r="G91" s="35" t="n">
        <v>17210</v>
      </c>
      <c r="H91" s="35" t="n">
        <v>2528</v>
      </c>
      <c r="I91" s="28" t="str">
        <f aca="false">INDEX(Campaigns!$C$2:$C$31,MATCH(B91,Campaigns!$A$2:$A$31,0))</f>
        <v>Email</v>
      </c>
      <c r="J91" s="40" t="n">
        <f aca="false">DATE(YEAR(A91),MONTH(A91),1)</f>
        <v>46204</v>
      </c>
    </row>
    <row r="92" customFormat="false" ht="15" hidden="false" customHeight="false" outlineLevel="0" collapsed="false">
      <c r="A92" s="34" t="n">
        <v>46221</v>
      </c>
      <c r="B92" s="28" t="s">
        <v>150</v>
      </c>
      <c r="C92" s="35" t="n">
        <v>33274</v>
      </c>
      <c r="D92" s="35" t="n">
        <v>315</v>
      </c>
      <c r="E92" s="35" t="n">
        <v>7</v>
      </c>
      <c r="F92" s="35" t="n">
        <v>5</v>
      </c>
      <c r="G92" s="35" t="n">
        <v>14900</v>
      </c>
      <c r="H92" s="35" t="n">
        <v>21042</v>
      </c>
      <c r="I92" s="28" t="str">
        <f aca="false">INDEX(Campaigns!$C$2:$C$31,MATCH(B92,Campaigns!$A$2:$A$31,0))</f>
        <v>Influencer Partnerships</v>
      </c>
      <c r="J92" s="40" t="n">
        <f aca="false">DATE(YEAR(A92),MONTH(A92),1)</f>
        <v>46204</v>
      </c>
    </row>
    <row r="93" customFormat="false" ht="15" hidden="false" customHeight="false" outlineLevel="0" collapsed="false">
      <c r="A93" s="34" t="n">
        <v>46221</v>
      </c>
      <c r="B93" s="28" t="s">
        <v>156</v>
      </c>
      <c r="C93" s="35" t="n">
        <v>47671</v>
      </c>
      <c r="D93" s="35" t="n">
        <v>446</v>
      </c>
      <c r="E93" s="35" t="n">
        <v>63</v>
      </c>
      <c r="F93" s="35" t="n">
        <v>5</v>
      </c>
      <c r="G93" s="35" t="n">
        <v>14970</v>
      </c>
      <c r="H93" s="35" t="n">
        <v>8857</v>
      </c>
      <c r="I93" s="28" t="str">
        <f aca="false">INDEX(Campaigns!$C$2:$C$31,MATCH(B93,Campaigns!$A$2:$A$31,0))</f>
        <v>TikTok Ads</v>
      </c>
      <c r="J93" s="40" t="n">
        <f aca="false">DATE(YEAR(A93),MONTH(A93),1)</f>
        <v>46204</v>
      </c>
    </row>
    <row r="94" customFormat="false" ht="15" hidden="false" customHeight="false" outlineLevel="0" collapsed="false">
      <c r="A94" s="34" t="n">
        <v>46221</v>
      </c>
      <c r="B94" s="28" t="s">
        <v>159</v>
      </c>
      <c r="C94" s="35" t="n">
        <v>28492</v>
      </c>
      <c r="D94" s="35" t="n">
        <v>443</v>
      </c>
      <c r="E94" s="35" t="n">
        <v>63</v>
      </c>
      <c r="F94" s="35" t="n">
        <v>5</v>
      </c>
      <c r="G94" s="35" t="n">
        <v>19430</v>
      </c>
      <c r="H94" s="35" t="n">
        <v>7286</v>
      </c>
      <c r="I94" s="28" t="str">
        <f aca="false">INDEX(Campaigns!$C$2:$C$31,MATCH(B94,Campaigns!$A$2:$A$31,0))</f>
        <v>Facebook &amp; Instagram Ads</v>
      </c>
      <c r="J94" s="40" t="n">
        <f aca="false">DATE(YEAR(A94),MONTH(A94),1)</f>
        <v>46204</v>
      </c>
    </row>
    <row r="95" customFormat="false" ht="15" hidden="false" customHeight="false" outlineLevel="0" collapsed="false">
      <c r="A95" s="34" t="n">
        <v>46221</v>
      </c>
      <c r="B95" s="28" t="s">
        <v>163</v>
      </c>
      <c r="C95" s="35" t="n">
        <v>1472</v>
      </c>
      <c r="D95" s="35" t="n">
        <v>50</v>
      </c>
      <c r="E95" s="35" t="n">
        <v>1</v>
      </c>
      <c r="F95" s="35" t="n">
        <v>0</v>
      </c>
      <c r="G95" s="35" t="n">
        <v>0</v>
      </c>
      <c r="H95" s="35" t="n">
        <v>490</v>
      </c>
      <c r="I95" s="28" t="str">
        <f aca="false">INDEX(Campaigns!$C$2:$C$31,MATCH(B95,Campaigns!$A$2:$A$31,0))</f>
        <v>Email</v>
      </c>
      <c r="J95" s="40" t="n">
        <f aca="false">DATE(YEAR(A95),MONTH(A95),1)</f>
        <v>46204</v>
      </c>
    </row>
    <row r="96" customFormat="false" ht="15" hidden="false" customHeight="false" outlineLevel="0" collapsed="false">
      <c r="A96" s="34" t="n">
        <v>46222</v>
      </c>
      <c r="B96" s="28" t="s">
        <v>105</v>
      </c>
      <c r="C96" s="35" t="n">
        <v>6078</v>
      </c>
      <c r="D96" s="35" t="n">
        <v>246</v>
      </c>
      <c r="E96" s="35" t="n">
        <v>7</v>
      </c>
      <c r="F96" s="35" t="n">
        <v>10</v>
      </c>
      <c r="G96" s="35" t="n">
        <v>34250</v>
      </c>
      <c r="H96" s="35" t="n">
        <v>5615</v>
      </c>
      <c r="I96" s="28" t="str">
        <f aca="false">INDEX(Campaigns!$C$2:$C$31,MATCH(B96,Campaigns!$A$2:$A$31,0))</f>
        <v>Google Search Ads</v>
      </c>
      <c r="J96" s="40" t="n">
        <f aca="false">DATE(YEAR(A96),MONTH(A96),1)</f>
        <v>46204</v>
      </c>
    </row>
    <row r="97" customFormat="false" ht="15" hidden="false" customHeight="false" outlineLevel="0" collapsed="false">
      <c r="A97" s="34" t="n">
        <v>46222</v>
      </c>
      <c r="B97" s="28" t="s">
        <v>112</v>
      </c>
      <c r="C97" s="35" t="n">
        <v>1141</v>
      </c>
      <c r="D97" s="35" t="n">
        <v>71</v>
      </c>
      <c r="E97" s="35" t="n">
        <v>2</v>
      </c>
      <c r="F97" s="35" t="n">
        <v>1</v>
      </c>
      <c r="G97" s="35" t="n">
        <v>3000</v>
      </c>
      <c r="H97" s="35" t="n">
        <v>1581</v>
      </c>
      <c r="I97" s="28" t="str">
        <f aca="false">INDEX(Campaigns!$C$2:$C$31,MATCH(B97,Campaigns!$A$2:$A$31,0))</f>
        <v>WhatsApp Broadcast</v>
      </c>
      <c r="J97" s="40" t="n">
        <f aca="false">DATE(YEAR(A97),MONTH(A97),1)</f>
        <v>46204</v>
      </c>
    </row>
    <row r="98" customFormat="false" ht="15" hidden="false" customHeight="false" outlineLevel="0" collapsed="false">
      <c r="A98" s="34" t="n">
        <v>46222</v>
      </c>
      <c r="B98" s="28" t="s">
        <v>120</v>
      </c>
      <c r="C98" s="35" t="n">
        <v>94013</v>
      </c>
      <c r="D98" s="35" t="n">
        <v>728</v>
      </c>
      <c r="E98" s="35" t="n">
        <v>28</v>
      </c>
      <c r="F98" s="35" t="n">
        <v>13</v>
      </c>
      <c r="G98" s="35" t="n">
        <v>36630</v>
      </c>
      <c r="H98" s="35" t="n">
        <v>15790</v>
      </c>
      <c r="I98" s="28" t="str">
        <f aca="false">INDEX(Campaigns!$C$2:$C$31,MATCH(B98,Campaigns!$A$2:$A$31,0))</f>
        <v>TikTok Ads</v>
      </c>
      <c r="J98" s="40" t="n">
        <f aca="false">DATE(YEAR(A98),MONTH(A98),1)</f>
        <v>46204</v>
      </c>
    </row>
    <row r="99" customFormat="false" ht="15" hidden="false" customHeight="false" outlineLevel="0" collapsed="false">
      <c r="A99" s="34" t="n">
        <v>46222</v>
      </c>
      <c r="B99" s="28" t="s">
        <v>124</v>
      </c>
      <c r="C99" s="35" t="n">
        <v>8336</v>
      </c>
      <c r="D99" s="35" t="n">
        <v>171</v>
      </c>
      <c r="E99" s="35" t="n">
        <v>10</v>
      </c>
      <c r="F99" s="35" t="n">
        <v>2</v>
      </c>
      <c r="G99" s="35" t="n">
        <v>6910</v>
      </c>
      <c r="H99" s="35" t="n">
        <v>3140</v>
      </c>
      <c r="I99" s="28" t="str">
        <f aca="false">INDEX(Campaigns!$C$2:$C$31,MATCH(B99,Campaigns!$A$2:$A$31,0))</f>
        <v>Email</v>
      </c>
      <c r="J99" s="40" t="n">
        <f aca="false">DATE(YEAR(A99),MONTH(A99),1)</f>
        <v>46204</v>
      </c>
    </row>
    <row r="100" customFormat="false" ht="15" hidden="false" customHeight="false" outlineLevel="0" collapsed="false">
      <c r="A100" s="34" t="n">
        <v>46222</v>
      </c>
      <c r="B100" s="28" t="s">
        <v>128</v>
      </c>
      <c r="C100" s="35" t="n">
        <v>31167</v>
      </c>
      <c r="D100" s="35" t="n">
        <v>1754</v>
      </c>
      <c r="E100" s="35" t="n">
        <v>60</v>
      </c>
      <c r="F100" s="35" t="n">
        <v>110</v>
      </c>
      <c r="G100" s="35" t="n">
        <v>400510</v>
      </c>
      <c r="H100" s="35" t="n">
        <v>28113</v>
      </c>
      <c r="I100" s="28" t="str">
        <f aca="false">INDEX(Campaigns!$C$2:$C$31,MATCH(B100,Campaigns!$A$2:$A$31,0))</f>
        <v>Google Search Ads</v>
      </c>
      <c r="J100" s="40" t="n">
        <f aca="false">DATE(YEAR(A100),MONTH(A100),1)</f>
        <v>46204</v>
      </c>
    </row>
    <row r="101" customFormat="false" ht="15" hidden="false" customHeight="false" outlineLevel="0" collapsed="false">
      <c r="A101" s="34" t="n">
        <v>46222</v>
      </c>
      <c r="B101" s="28" t="s">
        <v>134</v>
      </c>
      <c r="C101" s="35" t="n">
        <v>2138</v>
      </c>
      <c r="D101" s="35" t="n">
        <v>128</v>
      </c>
      <c r="E101" s="35" t="n">
        <v>4</v>
      </c>
      <c r="F101" s="35" t="n">
        <v>8</v>
      </c>
      <c r="G101" s="35" t="n">
        <v>23560</v>
      </c>
      <c r="H101" s="35" t="n">
        <v>3133</v>
      </c>
      <c r="I101" s="28" t="str">
        <f aca="false">INDEX(Campaigns!$C$2:$C$31,MATCH(B101,Campaigns!$A$2:$A$31,0))</f>
        <v>WhatsApp Broadcast</v>
      </c>
      <c r="J101" s="40" t="n">
        <f aca="false">DATE(YEAR(A101),MONTH(A101),1)</f>
        <v>46204</v>
      </c>
    </row>
    <row r="102" customFormat="false" ht="15" hidden="false" customHeight="false" outlineLevel="0" collapsed="false">
      <c r="A102" s="34" t="n">
        <v>46222</v>
      </c>
      <c r="B102" s="28" t="s">
        <v>150</v>
      </c>
      <c r="C102" s="35" t="n">
        <v>39378</v>
      </c>
      <c r="D102" s="35" t="n">
        <v>362</v>
      </c>
      <c r="E102" s="35" t="n">
        <v>14</v>
      </c>
      <c r="F102" s="35" t="n">
        <v>3</v>
      </c>
      <c r="G102" s="35" t="n">
        <v>10500</v>
      </c>
      <c r="H102" s="35" t="n">
        <v>24408</v>
      </c>
      <c r="I102" s="28" t="str">
        <f aca="false">INDEX(Campaigns!$C$2:$C$31,MATCH(B102,Campaigns!$A$2:$A$31,0))</f>
        <v>Influencer Partnerships</v>
      </c>
      <c r="J102" s="40" t="n">
        <f aca="false">DATE(YEAR(A102),MONTH(A102),1)</f>
        <v>46204</v>
      </c>
    </row>
    <row r="103" customFormat="false" ht="15" hidden="false" customHeight="false" outlineLevel="0" collapsed="false">
      <c r="A103" s="34" t="n">
        <v>46222</v>
      </c>
      <c r="B103" s="28" t="s">
        <v>156</v>
      </c>
      <c r="C103" s="35" t="n">
        <v>43685</v>
      </c>
      <c r="D103" s="35" t="n">
        <v>377</v>
      </c>
      <c r="E103" s="35" t="n">
        <v>49</v>
      </c>
      <c r="F103" s="35" t="n">
        <v>9</v>
      </c>
      <c r="G103" s="35" t="n">
        <v>22640</v>
      </c>
      <c r="H103" s="35" t="n">
        <v>8070</v>
      </c>
      <c r="I103" s="28" t="str">
        <f aca="false">INDEX(Campaigns!$C$2:$C$31,MATCH(B103,Campaigns!$A$2:$A$31,0))</f>
        <v>TikTok Ads</v>
      </c>
      <c r="J103" s="40" t="n">
        <f aca="false">DATE(YEAR(A103),MONTH(A103),1)</f>
        <v>46204</v>
      </c>
    </row>
    <row r="104" customFormat="false" ht="15" hidden="false" customHeight="false" outlineLevel="0" collapsed="false">
      <c r="A104" s="34" t="n">
        <v>46222</v>
      </c>
      <c r="B104" s="28" t="s">
        <v>159</v>
      </c>
      <c r="C104" s="35" t="n">
        <v>28815</v>
      </c>
      <c r="D104" s="35" t="n">
        <v>441</v>
      </c>
      <c r="E104" s="35" t="n">
        <v>65</v>
      </c>
      <c r="F104" s="35" t="n">
        <v>9</v>
      </c>
      <c r="G104" s="35" t="n">
        <v>30170</v>
      </c>
      <c r="H104" s="35" t="n">
        <v>7044</v>
      </c>
      <c r="I104" s="28" t="str">
        <f aca="false">INDEX(Campaigns!$C$2:$C$31,MATCH(B104,Campaigns!$A$2:$A$31,0))</f>
        <v>Facebook &amp; Instagram Ads</v>
      </c>
      <c r="J104" s="40" t="n">
        <f aca="false">DATE(YEAR(A104),MONTH(A104),1)</f>
        <v>46204</v>
      </c>
    </row>
    <row r="105" customFormat="false" ht="15" hidden="false" customHeight="false" outlineLevel="0" collapsed="false">
      <c r="A105" s="34" t="n">
        <v>46222</v>
      </c>
      <c r="B105" s="28" t="s">
        <v>163</v>
      </c>
      <c r="C105" s="35" t="n">
        <v>1464</v>
      </c>
      <c r="D105" s="35" t="n">
        <v>46</v>
      </c>
      <c r="E105" s="35" t="n">
        <v>0</v>
      </c>
      <c r="F105" s="35" t="n">
        <v>0</v>
      </c>
      <c r="G105" s="35" t="n">
        <v>0</v>
      </c>
      <c r="H105" s="35" t="n">
        <v>491</v>
      </c>
      <c r="I105" s="28" t="str">
        <f aca="false">INDEX(Campaigns!$C$2:$C$31,MATCH(B105,Campaigns!$A$2:$A$31,0))</f>
        <v>Email</v>
      </c>
      <c r="J105" s="40" t="n">
        <f aca="false">DATE(YEAR(A105),MONTH(A105),1)</f>
        <v>46204</v>
      </c>
    </row>
    <row r="106" customFormat="false" ht="15" hidden="false" customHeight="false" outlineLevel="0" collapsed="false">
      <c r="A106" s="34" t="n">
        <v>46223</v>
      </c>
      <c r="B106" s="28" t="s">
        <v>105</v>
      </c>
      <c r="C106" s="35" t="n">
        <v>4895</v>
      </c>
      <c r="D106" s="35" t="n">
        <v>186</v>
      </c>
      <c r="E106" s="35" t="n">
        <v>10</v>
      </c>
      <c r="F106" s="35" t="n">
        <v>3</v>
      </c>
      <c r="G106" s="35" t="n">
        <v>8600</v>
      </c>
      <c r="H106" s="35" t="n">
        <v>4654</v>
      </c>
      <c r="I106" s="28" t="str">
        <f aca="false">INDEX(Campaigns!$C$2:$C$31,MATCH(B106,Campaigns!$A$2:$A$31,0))</f>
        <v>Google Search Ads</v>
      </c>
      <c r="J106" s="40" t="n">
        <f aca="false">DATE(YEAR(A106),MONTH(A106),1)</f>
        <v>46204</v>
      </c>
    </row>
    <row r="107" customFormat="false" ht="15" hidden="false" customHeight="false" outlineLevel="0" collapsed="false">
      <c r="A107" s="34" t="n">
        <v>46223</v>
      </c>
      <c r="B107" s="28" t="s">
        <v>108</v>
      </c>
      <c r="C107" s="35" t="n">
        <v>7883</v>
      </c>
      <c r="D107" s="35" t="n">
        <v>248</v>
      </c>
      <c r="E107" s="35" t="n">
        <v>14</v>
      </c>
      <c r="F107" s="35" t="n">
        <v>7</v>
      </c>
      <c r="G107" s="35" t="n">
        <v>23690</v>
      </c>
      <c r="H107" s="35" t="n">
        <v>2733</v>
      </c>
      <c r="I107" s="28" t="str">
        <f aca="false">INDEX(Campaigns!$C$2:$C$31,MATCH(B107,Campaigns!$A$2:$A$31,0))</f>
        <v>Email</v>
      </c>
      <c r="J107" s="40" t="n">
        <f aca="false">DATE(YEAR(A107),MONTH(A107),1)</f>
        <v>46204</v>
      </c>
    </row>
    <row r="108" customFormat="false" ht="15" hidden="false" customHeight="false" outlineLevel="0" collapsed="false">
      <c r="A108" s="34" t="n">
        <v>46223</v>
      </c>
      <c r="B108" s="28" t="s">
        <v>112</v>
      </c>
      <c r="C108" s="35" t="n">
        <v>1057</v>
      </c>
      <c r="D108" s="35" t="n">
        <v>42</v>
      </c>
      <c r="E108" s="35" t="n">
        <v>4</v>
      </c>
      <c r="F108" s="35" t="n">
        <v>0</v>
      </c>
      <c r="G108" s="35" t="n">
        <v>0</v>
      </c>
      <c r="H108" s="35" t="n">
        <v>1389</v>
      </c>
      <c r="I108" s="28" t="str">
        <f aca="false">INDEX(Campaigns!$C$2:$C$31,MATCH(B108,Campaigns!$A$2:$A$31,0))</f>
        <v>WhatsApp Broadcast</v>
      </c>
      <c r="J108" s="40" t="n">
        <f aca="false">DATE(YEAR(A108),MONTH(A108),1)</f>
        <v>46204</v>
      </c>
    </row>
    <row r="109" customFormat="false" ht="15" hidden="false" customHeight="false" outlineLevel="0" collapsed="false">
      <c r="A109" s="34" t="n">
        <v>46223</v>
      </c>
      <c r="B109" s="28" t="s">
        <v>120</v>
      </c>
      <c r="C109" s="35" t="n">
        <v>79564</v>
      </c>
      <c r="D109" s="35" t="n">
        <v>609</v>
      </c>
      <c r="E109" s="35" t="n">
        <v>36</v>
      </c>
      <c r="F109" s="35" t="n">
        <v>3</v>
      </c>
      <c r="G109" s="35" t="n">
        <v>8000</v>
      </c>
      <c r="H109" s="35" t="n">
        <v>13991</v>
      </c>
      <c r="I109" s="28" t="str">
        <f aca="false">INDEX(Campaigns!$C$2:$C$31,MATCH(B109,Campaigns!$A$2:$A$31,0))</f>
        <v>TikTok Ads</v>
      </c>
      <c r="J109" s="40" t="n">
        <f aca="false">DATE(YEAR(A109),MONTH(A109),1)</f>
        <v>46204</v>
      </c>
    </row>
    <row r="110" customFormat="false" ht="15" hidden="false" customHeight="false" outlineLevel="0" collapsed="false">
      <c r="A110" s="34" t="n">
        <v>46223</v>
      </c>
      <c r="B110" s="28" t="s">
        <v>124</v>
      </c>
      <c r="C110" s="35" t="n">
        <v>6622</v>
      </c>
      <c r="D110" s="35" t="n">
        <v>145</v>
      </c>
      <c r="E110" s="35" t="n">
        <v>10</v>
      </c>
      <c r="F110" s="35" t="n">
        <v>1</v>
      </c>
      <c r="G110" s="35" t="n">
        <v>2340</v>
      </c>
      <c r="H110" s="35" t="n">
        <v>2572</v>
      </c>
      <c r="I110" s="28" t="str">
        <f aca="false">INDEX(Campaigns!$C$2:$C$31,MATCH(B110,Campaigns!$A$2:$A$31,0))</f>
        <v>Email</v>
      </c>
      <c r="J110" s="40" t="n">
        <f aca="false">DATE(YEAR(A110),MONTH(A110),1)</f>
        <v>46204</v>
      </c>
    </row>
    <row r="111" customFormat="false" ht="15" hidden="false" customHeight="false" outlineLevel="0" collapsed="false">
      <c r="A111" s="34" t="n">
        <v>46223</v>
      </c>
      <c r="B111" s="28" t="s">
        <v>128</v>
      </c>
      <c r="C111" s="35" t="n">
        <v>26135</v>
      </c>
      <c r="D111" s="35" t="n">
        <v>1514</v>
      </c>
      <c r="E111" s="35" t="n">
        <v>56</v>
      </c>
      <c r="F111" s="35" t="n">
        <v>94</v>
      </c>
      <c r="G111" s="35" t="n">
        <v>351220</v>
      </c>
      <c r="H111" s="35" t="n">
        <v>24823</v>
      </c>
      <c r="I111" s="28" t="str">
        <f aca="false">INDEX(Campaigns!$C$2:$C$31,MATCH(B111,Campaigns!$A$2:$A$31,0))</f>
        <v>Google Search Ads</v>
      </c>
      <c r="J111" s="40" t="n">
        <f aca="false">DATE(YEAR(A111),MONTH(A111),1)</f>
        <v>46204</v>
      </c>
    </row>
    <row r="112" customFormat="false" ht="15" hidden="false" customHeight="false" outlineLevel="0" collapsed="false">
      <c r="A112" s="34" t="n">
        <v>46223</v>
      </c>
      <c r="B112" s="28" t="s">
        <v>134</v>
      </c>
      <c r="C112" s="35" t="n">
        <v>2423</v>
      </c>
      <c r="D112" s="35" t="n">
        <v>148</v>
      </c>
      <c r="E112" s="35" t="n">
        <v>7</v>
      </c>
      <c r="F112" s="35" t="n">
        <v>13</v>
      </c>
      <c r="G112" s="35" t="n">
        <v>41230</v>
      </c>
      <c r="H112" s="35" t="n">
        <v>3555</v>
      </c>
      <c r="I112" s="28" t="str">
        <f aca="false">INDEX(Campaigns!$C$2:$C$31,MATCH(B112,Campaigns!$A$2:$A$31,0))</f>
        <v>WhatsApp Broadcast</v>
      </c>
      <c r="J112" s="40" t="n">
        <f aca="false">DATE(YEAR(A112),MONTH(A112),1)</f>
        <v>46204</v>
      </c>
    </row>
    <row r="113" customFormat="false" ht="15" hidden="false" customHeight="false" outlineLevel="0" collapsed="false">
      <c r="A113" s="34" t="n">
        <v>46223</v>
      </c>
      <c r="B113" s="28" t="s">
        <v>141</v>
      </c>
      <c r="C113" s="35" t="n">
        <v>7293</v>
      </c>
      <c r="D113" s="35" t="n">
        <v>236</v>
      </c>
      <c r="E113" s="35" t="n">
        <v>6</v>
      </c>
      <c r="F113" s="35" t="n">
        <v>6</v>
      </c>
      <c r="G113" s="35" t="n">
        <v>21400</v>
      </c>
      <c r="H113" s="35" t="n">
        <v>2648</v>
      </c>
      <c r="I113" s="28" t="str">
        <f aca="false">INDEX(Campaigns!$C$2:$C$31,MATCH(B113,Campaigns!$A$2:$A$31,0))</f>
        <v>Email</v>
      </c>
      <c r="J113" s="40" t="n">
        <f aca="false">DATE(YEAR(A113),MONTH(A113),1)</f>
        <v>46204</v>
      </c>
    </row>
    <row r="114" customFormat="false" ht="15" hidden="false" customHeight="false" outlineLevel="0" collapsed="false">
      <c r="A114" s="34" t="n">
        <v>46223</v>
      </c>
      <c r="B114" s="28" t="s">
        <v>147</v>
      </c>
      <c r="C114" s="35" t="n">
        <v>26010</v>
      </c>
      <c r="D114" s="35" t="n">
        <v>351</v>
      </c>
      <c r="E114" s="35" t="n">
        <v>5</v>
      </c>
      <c r="F114" s="35" t="n">
        <v>1</v>
      </c>
      <c r="G114" s="35" t="n">
        <v>3640</v>
      </c>
      <c r="H114" s="35" t="n">
        <v>5997</v>
      </c>
      <c r="I114" s="28" t="str">
        <f aca="false">INDEX(Campaigns!$C$2:$C$31,MATCH(B114,Campaigns!$A$2:$A$31,0))</f>
        <v>Facebook &amp; Instagram Ads</v>
      </c>
      <c r="J114" s="40" t="n">
        <f aca="false">DATE(YEAR(A114),MONTH(A114),1)</f>
        <v>46204</v>
      </c>
    </row>
    <row r="115" customFormat="false" ht="15" hidden="false" customHeight="false" outlineLevel="0" collapsed="false">
      <c r="A115" s="34" t="n">
        <v>46223</v>
      </c>
      <c r="B115" s="28" t="s">
        <v>150</v>
      </c>
      <c r="C115" s="35" t="n">
        <v>28798</v>
      </c>
      <c r="D115" s="35" t="n">
        <v>225</v>
      </c>
      <c r="E115" s="35" t="n">
        <v>9</v>
      </c>
      <c r="F115" s="35" t="n">
        <v>2</v>
      </c>
      <c r="G115" s="35" t="n">
        <v>7240</v>
      </c>
      <c r="H115" s="35" t="n">
        <v>18330</v>
      </c>
      <c r="I115" s="28" t="str">
        <f aca="false">INDEX(Campaigns!$C$2:$C$31,MATCH(B115,Campaigns!$A$2:$A$31,0))</f>
        <v>Influencer Partnerships</v>
      </c>
      <c r="J115" s="40" t="n">
        <f aca="false">DATE(YEAR(A115),MONTH(A115),1)</f>
        <v>46204</v>
      </c>
    </row>
    <row r="116" customFormat="false" ht="15" hidden="false" customHeight="false" outlineLevel="0" collapsed="false">
      <c r="A116" s="34" t="n">
        <v>46223</v>
      </c>
      <c r="B116" s="28" t="s">
        <v>156</v>
      </c>
      <c r="C116" s="35" t="n">
        <v>43472</v>
      </c>
      <c r="D116" s="35" t="n">
        <v>397</v>
      </c>
      <c r="E116" s="35" t="n">
        <v>61</v>
      </c>
      <c r="F116" s="35" t="n">
        <v>8</v>
      </c>
      <c r="G116" s="35" t="n">
        <v>20470</v>
      </c>
      <c r="H116" s="35" t="n">
        <v>8341</v>
      </c>
      <c r="I116" s="28" t="str">
        <f aca="false">INDEX(Campaigns!$C$2:$C$31,MATCH(B116,Campaigns!$A$2:$A$31,0))</f>
        <v>TikTok Ads</v>
      </c>
      <c r="J116" s="40" t="n">
        <f aca="false">DATE(YEAR(A116),MONTH(A116),1)</f>
        <v>46204</v>
      </c>
    </row>
    <row r="117" customFormat="false" ht="15" hidden="false" customHeight="false" outlineLevel="0" collapsed="false">
      <c r="A117" s="34" t="n">
        <v>46223</v>
      </c>
      <c r="B117" s="28" t="s">
        <v>159</v>
      </c>
      <c r="C117" s="35" t="n">
        <v>22411</v>
      </c>
      <c r="D117" s="35" t="n">
        <v>333</v>
      </c>
      <c r="E117" s="35" t="n">
        <v>32</v>
      </c>
      <c r="F117" s="35" t="n">
        <v>5</v>
      </c>
      <c r="G117" s="35" t="n">
        <v>18820</v>
      </c>
      <c r="H117" s="35" t="n">
        <v>5571</v>
      </c>
      <c r="I117" s="28" t="str">
        <f aca="false">INDEX(Campaigns!$C$2:$C$31,MATCH(B117,Campaigns!$A$2:$A$31,0))</f>
        <v>Facebook &amp; Instagram Ads</v>
      </c>
      <c r="J117" s="40" t="n">
        <f aca="false">DATE(YEAR(A117),MONTH(A117),1)</f>
        <v>46204</v>
      </c>
    </row>
    <row r="118" customFormat="false" ht="15" hidden="false" customHeight="false" outlineLevel="0" collapsed="false">
      <c r="A118" s="34" t="n">
        <v>46223</v>
      </c>
      <c r="B118" s="28" t="s">
        <v>163</v>
      </c>
      <c r="C118" s="35" t="n">
        <v>1625</v>
      </c>
      <c r="D118" s="35" t="n">
        <v>41</v>
      </c>
      <c r="E118" s="35" t="n">
        <v>0</v>
      </c>
      <c r="F118" s="35" t="n">
        <v>1</v>
      </c>
      <c r="G118" s="35" t="n">
        <v>2090</v>
      </c>
      <c r="H118" s="35" t="n">
        <v>582</v>
      </c>
      <c r="I118" s="28" t="str">
        <f aca="false">INDEX(Campaigns!$C$2:$C$31,MATCH(B118,Campaigns!$A$2:$A$31,0))</f>
        <v>Email</v>
      </c>
      <c r="J118" s="40" t="n">
        <f aca="false">DATE(YEAR(A118),MONTH(A118),1)</f>
        <v>46204</v>
      </c>
    </row>
    <row r="119" customFormat="false" ht="15" hidden="false" customHeight="false" outlineLevel="0" collapsed="false">
      <c r="A119" s="34" t="n">
        <v>46224</v>
      </c>
      <c r="B119" s="28" t="s">
        <v>108</v>
      </c>
      <c r="C119" s="35" t="n">
        <v>7064</v>
      </c>
      <c r="D119" s="35" t="n">
        <v>235</v>
      </c>
      <c r="E119" s="35" t="n">
        <v>10</v>
      </c>
      <c r="F119" s="35" t="n">
        <v>9</v>
      </c>
      <c r="G119" s="35" t="n">
        <v>26470</v>
      </c>
      <c r="H119" s="35" t="n">
        <v>2632</v>
      </c>
      <c r="I119" s="28" t="str">
        <f aca="false">INDEX(Campaigns!$C$2:$C$31,MATCH(B119,Campaigns!$A$2:$A$31,0))</f>
        <v>Email</v>
      </c>
      <c r="J119" s="40" t="n">
        <f aca="false">DATE(YEAR(A119),MONTH(A119),1)</f>
        <v>46204</v>
      </c>
    </row>
    <row r="120" customFormat="false" ht="15" hidden="false" customHeight="false" outlineLevel="0" collapsed="false">
      <c r="A120" s="34" t="n">
        <v>46224</v>
      </c>
      <c r="B120" s="28" t="s">
        <v>112</v>
      </c>
      <c r="C120" s="35" t="n">
        <v>1102</v>
      </c>
      <c r="D120" s="35" t="n">
        <v>62</v>
      </c>
      <c r="E120" s="35" t="n">
        <v>1</v>
      </c>
      <c r="F120" s="35" t="n">
        <v>3</v>
      </c>
      <c r="G120" s="35" t="n">
        <v>8470</v>
      </c>
      <c r="H120" s="35" t="n">
        <v>1451</v>
      </c>
      <c r="I120" s="28" t="str">
        <f aca="false">INDEX(Campaigns!$C$2:$C$31,MATCH(B120,Campaigns!$A$2:$A$31,0))</f>
        <v>WhatsApp Broadcast</v>
      </c>
      <c r="J120" s="40" t="n">
        <f aca="false">DATE(YEAR(A120),MONTH(A120),1)</f>
        <v>46204</v>
      </c>
    </row>
    <row r="121" customFormat="false" ht="15" hidden="false" customHeight="false" outlineLevel="0" collapsed="false">
      <c r="A121" s="34" t="n">
        <v>46224</v>
      </c>
      <c r="B121" s="28" t="s">
        <v>120</v>
      </c>
      <c r="C121" s="35" t="n">
        <v>82035</v>
      </c>
      <c r="D121" s="35" t="n">
        <v>665</v>
      </c>
      <c r="E121" s="35" t="n">
        <v>28</v>
      </c>
      <c r="F121" s="35" t="n">
        <v>6</v>
      </c>
      <c r="G121" s="35" t="n">
        <v>14020</v>
      </c>
      <c r="H121" s="35" t="n">
        <v>15602</v>
      </c>
      <c r="I121" s="28" t="str">
        <f aca="false">INDEX(Campaigns!$C$2:$C$31,MATCH(B121,Campaigns!$A$2:$A$31,0))</f>
        <v>TikTok Ads</v>
      </c>
      <c r="J121" s="40" t="n">
        <f aca="false">DATE(YEAR(A121),MONTH(A121),1)</f>
        <v>46204</v>
      </c>
    </row>
    <row r="122" customFormat="false" ht="15" hidden="false" customHeight="false" outlineLevel="0" collapsed="false">
      <c r="A122" s="34" t="n">
        <v>46224</v>
      </c>
      <c r="B122" s="28" t="s">
        <v>122</v>
      </c>
      <c r="C122" s="35" t="n">
        <v>118930</v>
      </c>
      <c r="D122" s="35" t="n">
        <v>986</v>
      </c>
      <c r="E122" s="35" t="n">
        <v>45</v>
      </c>
      <c r="F122" s="35" t="n">
        <v>6</v>
      </c>
      <c r="G122" s="35" t="n">
        <v>14720</v>
      </c>
      <c r="H122" s="35" t="n">
        <v>21170</v>
      </c>
      <c r="I122" s="28" t="str">
        <f aca="false">INDEX(Campaigns!$C$2:$C$31,MATCH(B122,Campaigns!$A$2:$A$31,0))</f>
        <v>TikTok Ads</v>
      </c>
      <c r="J122" s="40" t="n">
        <f aca="false">DATE(YEAR(A122),MONTH(A122),1)</f>
        <v>46204</v>
      </c>
    </row>
    <row r="123" customFormat="false" ht="15" hidden="false" customHeight="false" outlineLevel="0" collapsed="false">
      <c r="A123" s="34" t="n">
        <v>46224</v>
      </c>
      <c r="B123" s="28" t="s">
        <v>124</v>
      </c>
      <c r="C123" s="35" t="n">
        <v>6751</v>
      </c>
      <c r="D123" s="35" t="n">
        <v>163</v>
      </c>
      <c r="E123" s="35" t="n">
        <v>2</v>
      </c>
      <c r="F123" s="35" t="n">
        <v>2</v>
      </c>
      <c r="G123" s="35" t="n">
        <v>6250</v>
      </c>
      <c r="H123" s="35" t="n">
        <v>2259</v>
      </c>
      <c r="I123" s="28" t="str">
        <f aca="false">INDEX(Campaigns!$C$2:$C$31,MATCH(B123,Campaigns!$A$2:$A$31,0))</f>
        <v>Email</v>
      </c>
      <c r="J123" s="40" t="n">
        <f aca="false">DATE(YEAR(A123),MONTH(A123),1)</f>
        <v>46204</v>
      </c>
    </row>
    <row r="124" customFormat="false" ht="15" hidden="false" customHeight="false" outlineLevel="0" collapsed="false">
      <c r="A124" s="34" t="n">
        <v>46224</v>
      </c>
      <c r="B124" s="28" t="s">
        <v>126</v>
      </c>
      <c r="C124" s="35" t="n">
        <v>12866</v>
      </c>
      <c r="D124" s="35" t="n">
        <v>98</v>
      </c>
      <c r="E124" s="35" t="n">
        <v>5</v>
      </c>
      <c r="F124" s="35" t="n">
        <v>0</v>
      </c>
      <c r="G124" s="35" t="n">
        <v>0</v>
      </c>
      <c r="H124" s="35" t="n">
        <v>2458</v>
      </c>
      <c r="I124" s="28" t="str">
        <f aca="false">INDEX(Campaigns!$C$2:$C$31,MATCH(B124,Campaigns!$A$2:$A$31,0))</f>
        <v>TikTok Ads</v>
      </c>
      <c r="J124" s="40" t="n">
        <f aca="false">DATE(YEAR(A124),MONTH(A124),1)</f>
        <v>46204</v>
      </c>
    </row>
    <row r="125" customFormat="false" ht="15" hidden="false" customHeight="false" outlineLevel="0" collapsed="false">
      <c r="A125" s="34" t="n">
        <v>46224</v>
      </c>
      <c r="B125" s="28" t="s">
        <v>128</v>
      </c>
      <c r="C125" s="35" t="n">
        <v>22239</v>
      </c>
      <c r="D125" s="35" t="n">
        <v>1260</v>
      </c>
      <c r="E125" s="35" t="n">
        <v>48</v>
      </c>
      <c r="F125" s="35" t="n">
        <v>78</v>
      </c>
      <c r="G125" s="35" t="n">
        <v>283150</v>
      </c>
      <c r="H125" s="35" t="n">
        <v>21379</v>
      </c>
      <c r="I125" s="28" t="str">
        <f aca="false">INDEX(Campaigns!$C$2:$C$31,MATCH(B125,Campaigns!$A$2:$A$31,0))</f>
        <v>Google Search Ads</v>
      </c>
      <c r="J125" s="40" t="n">
        <f aca="false">DATE(YEAR(A125),MONTH(A125),1)</f>
        <v>46204</v>
      </c>
    </row>
    <row r="126" customFormat="false" ht="15" hidden="false" customHeight="false" outlineLevel="0" collapsed="false">
      <c r="A126" s="34" t="n">
        <v>46224</v>
      </c>
      <c r="B126" s="28" t="s">
        <v>134</v>
      </c>
      <c r="C126" s="35" t="n">
        <v>2504</v>
      </c>
      <c r="D126" s="35" t="n">
        <v>163</v>
      </c>
      <c r="E126" s="35" t="n">
        <v>6</v>
      </c>
      <c r="F126" s="35" t="n">
        <v>8</v>
      </c>
      <c r="G126" s="35" t="n">
        <v>24210</v>
      </c>
      <c r="H126" s="35" t="n">
        <v>3551</v>
      </c>
      <c r="I126" s="28" t="str">
        <f aca="false">INDEX(Campaigns!$C$2:$C$31,MATCH(B126,Campaigns!$A$2:$A$31,0))</f>
        <v>WhatsApp Broadcast</v>
      </c>
      <c r="J126" s="40" t="n">
        <f aca="false">DATE(YEAR(A126),MONTH(A126),1)</f>
        <v>46204</v>
      </c>
    </row>
    <row r="127" customFormat="false" ht="15" hidden="false" customHeight="false" outlineLevel="0" collapsed="false">
      <c r="A127" s="34" t="n">
        <v>46224</v>
      </c>
      <c r="B127" s="28" t="s">
        <v>136</v>
      </c>
      <c r="C127" s="35" t="n">
        <v>12991</v>
      </c>
      <c r="D127" s="35" t="n">
        <v>362</v>
      </c>
      <c r="E127" s="35" t="n">
        <v>20</v>
      </c>
      <c r="F127" s="35" t="n">
        <v>13</v>
      </c>
      <c r="G127" s="35" t="n">
        <v>45240</v>
      </c>
      <c r="H127" s="35" t="n">
        <v>4331</v>
      </c>
      <c r="I127" s="28" t="str">
        <f aca="false">INDEX(Campaigns!$C$2:$C$31,MATCH(B127,Campaigns!$A$2:$A$31,0))</f>
        <v>Email</v>
      </c>
      <c r="J127" s="40" t="n">
        <f aca="false">DATE(YEAR(A127),MONTH(A127),1)</f>
        <v>46204</v>
      </c>
    </row>
    <row r="128" customFormat="false" ht="15" hidden="false" customHeight="false" outlineLevel="0" collapsed="false">
      <c r="A128" s="34" t="n">
        <v>46224</v>
      </c>
      <c r="B128" s="28" t="s">
        <v>141</v>
      </c>
      <c r="C128" s="35" t="n">
        <v>6841</v>
      </c>
      <c r="D128" s="35" t="n">
        <v>237</v>
      </c>
      <c r="E128" s="35" t="n">
        <v>11</v>
      </c>
      <c r="F128" s="35" t="n">
        <v>10</v>
      </c>
      <c r="G128" s="35" t="n">
        <v>39700</v>
      </c>
      <c r="H128" s="35" t="n">
        <v>2477</v>
      </c>
      <c r="I128" s="28" t="str">
        <f aca="false">INDEX(Campaigns!$C$2:$C$31,MATCH(B128,Campaigns!$A$2:$A$31,0))</f>
        <v>Email</v>
      </c>
      <c r="J128" s="40" t="n">
        <f aca="false">DATE(YEAR(A128),MONTH(A128),1)</f>
        <v>46204</v>
      </c>
    </row>
    <row r="129" customFormat="false" ht="15" hidden="false" customHeight="false" outlineLevel="0" collapsed="false">
      <c r="A129" s="34" t="n">
        <v>46224</v>
      </c>
      <c r="B129" s="28" t="s">
        <v>147</v>
      </c>
      <c r="C129" s="35" t="n">
        <v>25078</v>
      </c>
      <c r="D129" s="35" t="n">
        <v>325</v>
      </c>
      <c r="E129" s="35" t="n">
        <v>3</v>
      </c>
      <c r="F129" s="35" t="n">
        <v>1</v>
      </c>
      <c r="G129" s="35" t="n">
        <v>3940</v>
      </c>
      <c r="H129" s="35" t="n">
        <v>5976</v>
      </c>
      <c r="I129" s="28" t="str">
        <f aca="false">INDEX(Campaigns!$C$2:$C$31,MATCH(B129,Campaigns!$A$2:$A$31,0))</f>
        <v>Facebook &amp; Instagram Ads</v>
      </c>
      <c r="J129" s="40" t="n">
        <f aca="false">DATE(YEAR(A129),MONTH(A129),1)</f>
        <v>46204</v>
      </c>
    </row>
    <row r="130" customFormat="false" ht="15" hidden="false" customHeight="false" outlineLevel="0" collapsed="false">
      <c r="A130" s="34" t="n">
        <v>46224</v>
      </c>
      <c r="B130" s="28" t="s">
        <v>150</v>
      </c>
      <c r="C130" s="35" t="n">
        <v>34200</v>
      </c>
      <c r="D130" s="35" t="n">
        <v>288</v>
      </c>
      <c r="E130" s="35" t="n">
        <v>13</v>
      </c>
      <c r="F130" s="35" t="n">
        <v>4</v>
      </c>
      <c r="G130" s="35" t="n">
        <v>13540</v>
      </c>
      <c r="H130" s="35" t="n">
        <v>20848</v>
      </c>
      <c r="I130" s="28" t="str">
        <f aca="false">INDEX(Campaigns!$C$2:$C$31,MATCH(B130,Campaigns!$A$2:$A$31,0))</f>
        <v>Influencer Partnerships</v>
      </c>
      <c r="J130" s="40" t="n">
        <f aca="false">DATE(YEAR(A130),MONTH(A130),1)</f>
        <v>46204</v>
      </c>
    </row>
    <row r="131" customFormat="false" ht="15" hidden="false" customHeight="false" outlineLevel="0" collapsed="false">
      <c r="A131" s="34" t="n">
        <v>46224</v>
      </c>
      <c r="B131" s="28" t="s">
        <v>156</v>
      </c>
      <c r="C131" s="35" t="n">
        <v>37518</v>
      </c>
      <c r="D131" s="35" t="n">
        <v>314</v>
      </c>
      <c r="E131" s="35" t="n">
        <v>46</v>
      </c>
      <c r="F131" s="35" t="n">
        <v>9</v>
      </c>
      <c r="G131" s="35" t="n">
        <v>22700</v>
      </c>
      <c r="H131" s="35" t="n">
        <v>7103</v>
      </c>
      <c r="I131" s="28" t="str">
        <f aca="false">INDEX(Campaigns!$C$2:$C$31,MATCH(B131,Campaigns!$A$2:$A$31,0))</f>
        <v>TikTok Ads</v>
      </c>
      <c r="J131" s="40" t="n">
        <f aca="false">DATE(YEAR(A131),MONTH(A131),1)</f>
        <v>46204</v>
      </c>
    </row>
    <row r="132" customFormat="false" ht="15" hidden="false" customHeight="false" outlineLevel="0" collapsed="false">
      <c r="A132" s="34" t="n">
        <v>46224</v>
      </c>
      <c r="B132" s="28" t="s">
        <v>159</v>
      </c>
      <c r="C132" s="35" t="n">
        <v>25547</v>
      </c>
      <c r="D132" s="35" t="n">
        <v>358</v>
      </c>
      <c r="E132" s="35" t="n">
        <v>50</v>
      </c>
      <c r="F132" s="35" t="n">
        <v>3</v>
      </c>
      <c r="G132" s="35" t="n">
        <v>10550</v>
      </c>
      <c r="H132" s="35" t="n">
        <v>6375</v>
      </c>
      <c r="I132" s="28" t="str">
        <f aca="false">INDEX(Campaigns!$C$2:$C$31,MATCH(B132,Campaigns!$A$2:$A$31,0))</f>
        <v>Facebook &amp; Instagram Ads</v>
      </c>
      <c r="J132" s="40" t="n">
        <f aca="false">DATE(YEAR(A132),MONTH(A132),1)</f>
        <v>46204</v>
      </c>
    </row>
    <row r="133" customFormat="false" ht="15" hidden="false" customHeight="false" outlineLevel="0" collapsed="false">
      <c r="A133" s="34" t="n">
        <v>46224</v>
      </c>
      <c r="B133" s="28" t="s">
        <v>163</v>
      </c>
      <c r="C133" s="35" t="n">
        <v>1376</v>
      </c>
      <c r="D133" s="35" t="n">
        <v>34</v>
      </c>
      <c r="E133" s="35" t="n">
        <v>0</v>
      </c>
      <c r="F133" s="35" t="n">
        <v>2</v>
      </c>
      <c r="G133" s="35" t="n">
        <v>7090</v>
      </c>
      <c r="H133" s="35" t="n">
        <v>460</v>
      </c>
      <c r="I133" s="28" t="str">
        <f aca="false">INDEX(Campaigns!$C$2:$C$31,MATCH(B133,Campaigns!$A$2:$A$31,0))</f>
        <v>Email</v>
      </c>
      <c r="J133" s="40" t="n">
        <f aca="false">DATE(YEAR(A133),MONTH(A133),1)</f>
        <v>46204</v>
      </c>
    </row>
    <row r="134" customFormat="false" ht="15" hidden="false" customHeight="false" outlineLevel="0" collapsed="false">
      <c r="A134" s="34" t="n">
        <v>46225</v>
      </c>
      <c r="B134" s="28" t="s">
        <v>105</v>
      </c>
      <c r="C134" s="35" t="n">
        <v>5135</v>
      </c>
      <c r="D134" s="35" t="n">
        <v>218</v>
      </c>
      <c r="E134" s="35" t="n">
        <v>3</v>
      </c>
      <c r="F134" s="35" t="n">
        <v>7</v>
      </c>
      <c r="G134" s="35" t="n">
        <v>25240</v>
      </c>
      <c r="H134" s="35" t="n">
        <v>4405</v>
      </c>
      <c r="I134" s="28" t="str">
        <f aca="false">INDEX(Campaigns!$C$2:$C$31,MATCH(B134,Campaigns!$A$2:$A$31,0))</f>
        <v>Google Search Ads</v>
      </c>
      <c r="J134" s="40" t="n">
        <f aca="false">DATE(YEAR(A134),MONTH(A134),1)</f>
        <v>46204</v>
      </c>
    </row>
    <row r="135" customFormat="false" ht="15" hidden="false" customHeight="false" outlineLevel="0" collapsed="false">
      <c r="A135" s="34" t="n">
        <v>46225</v>
      </c>
      <c r="B135" s="28" t="s">
        <v>108</v>
      </c>
      <c r="C135" s="35" t="n">
        <v>6772</v>
      </c>
      <c r="D135" s="35" t="n">
        <v>230</v>
      </c>
      <c r="E135" s="35" t="n">
        <v>7</v>
      </c>
      <c r="F135" s="35" t="n">
        <v>11</v>
      </c>
      <c r="G135" s="35" t="n">
        <v>35490</v>
      </c>
      <c r="H135" s="35" t="n">
        <v>2604</v>
      </c>
      <c r="I135" s="28" t="str">
        <f aca="false">INDEX(Campaigns!$C$2:$C$31,MATCH(B135,Campaigns!$A$2:$A$31,0))</f>
        <v>Email</v>
      </c>
      <c r="J135" s="40" t="n">
        <f aca="false">DATE(YEAR(A135),MONTH(A135),1)</f>
        <v>46204</v>
      </c>
    </row>
    <row r="136" customFormat="false" ht="15" hidden="false" customHeight="false" outlineLevel="0" collapsed="false">
      <c r="A136" s="34" t="n">
        <v>46225</v>
      </c>
      <c r="B136" s="28" t="s">
        <v>112</v>
      </c>
      <c r="C136" s="35" t="n">
        <v>1098</v>
      </c>
      <c r="D136" s="35" t="n">
        <v>74</v>
      </c>
      <c r="E136" s="35" t="n">
        <v>6</v>
      </c>
      <c r="F136" s="35" t="n">
        <v>1</v>
      </c>
      <c r="G136" s="35" t="n">
        <v>1870</v>
      </c>
      <c r="H136" s="35" t="n">
        <v>1519</v>
      </c>
      <c r="I136" s="28" t="str">
        <f aca="false">INDEX(Campaigns!$C$2:$C$31,MATCH(B136,Campaigns!$A$2:$A$31,0))</f>
        <v>WhatsApp Broadcast</v>
      </c>
      <c r="J136" s="40" t="n">
        <f aca="false">DATE(YEAR(A136),MONTH(A136),1)</f>
        <v>46204</v>
      </c>
    </row>
    <row r="137" customFormat="false" ht="15" hidden="false" customHeight="false" outlineLevel="0" collapsed="false">
      <c r="A137" s="34" t="n">
        <v>46225</v>
      </c>
      <c r="B137" s="28" t="s">
        <v>120</v>
      </c>
      <c r="C137" s="35" t="n">
        <v>92144</v>
      </c>
      <c r="D137" s="35" t="n">
        <v>714</v>
      </c>
      <c r="E137" s="35" t="n">
        <v>19</v>
      </c>
      <c r="F137" s="35" t="n">
        <v>3</v>
      </c>
      <c r="G137" s="35" t="n">
        <v>7790</v>
      </c>
      <c r="H137" s="35" t="n">
        <v>15260</v>
      </c>
      <c r="I137" s="28" t="str">
        <f aca="false">INDEX(Campaigns!$C$2:$C$31,MATCH(B137,Campaigns!$A$2:$A$31,0))</f>
        <v>TikTok Ads</v>
      </c>
      <c r="J137" s="40" t="n">
        <f aca="false">DATE(YEAR(A137),MONTH(A137),1)</f>
        <v>46204</v>
      </c>
    </row>
    <row r="138" customFormat="false" ht="15" hidden="false" customHeight="false" outlineLevel="0" collapsed="false">
      <c r="A138" s="34" t="n">
        <v>46225</v>
      </c>
      <c r="B138" s="28" t="s">
        <v>122</v>
      </c>
      <c r="C138" s="35" t="n">
        <v>130215</v>
      </c>
      <c r="D138" s="35" t="n">
        <v>1021</v>
      </c>
      <c r="E138" s="35" t="n">
        <v>38</v>
      </c>
      <c r="F138" s="35" t="n">
        <v>8</v>
      </c>
      <c r="G138" s="35" t="n">
        <v>19630</v>
      </c>
      <c r="H138" s="35" t="n">
        <v>23601</v>
      </c>
      <c r="I138" s="28" t="str">
        <f aca="false">INDEX(Campaigns!$C$2:$C$31,MATCH(B138,Campaigns!$A$2:$A$31,0))</f>
        <v>TikTok Ads</v>
      </c>
      <c r="J138" s="40" t="n">
        <f aca="false">DATE(YEAR(A138),MONTH(A138),1)</f>
        <v>46204</v>
      </c>
    </row>
    <row r="139" customFormat="false" ht="15" hidden="false" customHeight="false" outlineLevel="0" collapsed="false">
      <c r="A139" s="34" t="n">
        <v>46225</v>
      </c>
      <c r="B139" s="28" t="s">
        <v>124</v>
      </c>
      <c r="C139" s="35" t="n">
        <v>6163</v>
      </c>
      <c r="D139" s="35" t="n">
        <v>138</v>
      </c>
      <c r="E139" s="35" t="n">
        <v>3</v>
      </c>
      <c r="F139" s="35" t="n">
        <v>2</v>
      </c>
      <c r="G139" s="35" t="n">
        <v>6900</v>
      </c>
      <c r="H139" s="35" t="n">
        <v>2383</v>
      </c>
      <c r="I139" s="28" t="str">
        <f aca="false">INDEX(Campaigns!$C$2:$C$31,MATCH(B139,Campaigns!$A$2:$A$31,0))</f>
        <v>Email</v>
      </c>
      <c r="J139" s="40" t="n">
        <f aca="false">DATE(YEAR(A139),MONTH(A139),1)</f>
        <v>46204</v>
      </c>
    </row>
    <row r="140" customFormat="false" ht="15" hidden="false" customHeight="false" outlineLevel="0" collapsed="false">
      <c r="A140" s="34" t="n">
        <v>46225</v>
      </c>
      <c r="B140" s="28" t="s">
        <v>126</v>
      </c>
      <c r="C140" s="35" t="n">
        <v>16586</v>
      </c>
      <c r="D140" s="35" t="n">
        <v>116</v>
      </c>
      <c r="E140" s="35" t="n">
        <v>3</v>
      </c>
      <c r="F140" s="35" t="n">
        <v>0</v>
      </c>
      <c r="G140" s="35" t="n">
        <v>0</v>
      </c>
      <c r="H140" s="35" t="n">
        <v>2930</v>
      </c>
      <c r="I140" s="28" t="str">
        <f aca="false">INDEX(Campaigns!$C$2:$C$31,MATCH(B140,Campaigns!$A$2:$A$31,0))</f>
        <v>TikTok Ads</v>
      </c>
      <c r="J140" s="40" t="n">
        <f aca="false">DATE(YEAR(A140),MONTH(A140),1)</f>
        <v>46204</v>
      </c>
    </row>
    <row r="141" customFormat="false" ht="15" hidden="false" customHeight="false" outlineLevel="0" collapsed="false">
      <c r="A141" s="34" t="n">
        <v>46225</v>
      </c>
      <c r="B141" s="28" t="s">
        <v>128</v>
      </c>
      <c r="C141" s="35" t="n">
        <v>23485</v>
      </c>
      <c r="D141" s="35" t="n">
        <v>1373</v>
      </c>
      <c r="E141" s="35" t="n">
        <v>43</v>
      </c>
      <c r="F141" s="35" t="n">
        <v>78</v>
      </c>
      <c r="G141" s="35" t="n">
        <v>279220</v>
      </c>
      <c r="H141" s="35" t="n">
        <v>21191</v>
      </c>
      <c r="I141" s="28" t="str">
        <f aca="false">INDEX(Campaigns!$C$2:$C$31,MATCH(B141,Campaigns!$A$2:$A$31,0))</f>
        <v>Google Search Ads</v>
      </c>
      <c r="J141" s="40" t="n">
        <f aca="false">DATE(YEAR(A141),MONTH(A141),1)</f>
        <v>46204</v>
      </c>
    </row>
    <row r="142" customFormat="false" ht="15" hidden="false" customHeight="false" outlineLevel="0" collapsed="false">
      <c r="A142" s="34" t="n">
        <v>46225</v>
      </c>
      <c r="B142" s="28" t="s">
        <v>134</v>
      </c>
      <c r="C142" s="35" t="n">
        <v>2046</v>
      </c>
      <c r="D142" s="35" t="n">
        <v>140</v>
      </c>
      <c r="E142" s="35" t="n">
        <v>4</v>
      </c>
      <c r="F142" s="35" t="n">
        <v>16</v>
      </c>
      <c r="G142" s="35" t="n">
        <v>42290</v>
      </c>
      <c r="H142" s="35" t="n">
        <v>3064</v>
      </c>
      <c r="I142" s="28" t="str">
        <f aca="false">INDEX(Campaigns!$C$2:$C$31,MATCH(B142,Campaigns!$A$2:$A$31,0))</f>
        <v>WhatsApp Broadcast</v>
      </c>
      <c r="J142" s="40" t="n">
        <f aca="false">DATE(YEAR(A142),MONTH(A142),1)</f>
        <v>46204</v>
      </c>
    </row>
    <row r="143" customFormat="false" ht="15" hidden="false" customHeight="false" outlineLevel="0" collapsed="false">
      <c r="A143" s="34" t="n">
        <v>46225</v>
      </c>
      <c r="B143" s="28" t="s">
        <v>136</v>
      </c>
      <c r="C143" s="35" t="n">
        <v>11802</v>
      </c>
      <c r="D143" s="35" t="n">
        <v>330</v>
      </c>
      <c r="E143" s="35" t="n">
        <v>5</v>
      </c>
      <c r="F143" s="35" t="n">
        <v>5</v>
      </c>
      <c r="G143" s="35" t="n">
        <v>12800</v>
      </c>
      <c r="H143" s="35" t="n">
        <v>3830</v>
      </c>
      <c r="I143" s="28" t="str">
        <f aca="false">INDEX(Campaigns!$C$2:$C$31,MATCH(B143,Campaigns!$A$2:$A$31,0))</f>
        <v>Email</v>
      </c>
      <c r="J143" s="40" t="n">
        <f aca="false">DATE(YEAR(A143),MONTH(A143),1)</f>
        <v>46204</v>
      </c>
    </row>
    <row r="144" customFormat="false" ht="15" hidden="false" customHeight="false" outlineLevel="0" collapsed="false">
      <c r="A144" s="34" t="n">
        <v>46225</v>
      </c>
      <c r="B144" s="28" t="s">
        <v>141</v>
      </c>
      <c r="C144" s="35" t="n">
        <v>8308</v>
      </c>
      <c r="D144" s="35" t="n">
        <v>294</v>
      </c>
      <c r="E144" s="35" t="n">
        <v>16</v>
      </c>
      <c r="F144" s="35" t="n">
        <v>6</v>
      </c>
      <c r="G144" s="35" t="n">
        <v>20070</v>
      </c>
      <c r="H144" s="35" t="n">
        <v>2685</v>
      </c>
      <c r="I144" s="28" t="str">
        <f aca="false">INDEX(Campaigns!$C$2:$C$31,MATCH(B144,Campaigns!$A$2:$A$31,0))</f>
        <v>Email</v>
      </c>
      <c r="J144" s="40" t="n">
        <f aca="false">DATE(YEAR(A144),MONTH(A144),1)</f>
        <v>46204</v>
      </c>
    </row>
    <row r="145" customFormat="false" ht="15" hidden="false" customHeight="false" outlineLevel="0" collapsed="false">
      <c r="A145" s="34" t="n">
        <v>46225</v>
      </c>
      <c r="B145" s="28" t="s">
        <v>145</v>
      </c>
      <c r="C145" s="35" t="n">
        <v>8212</v>
      </c>
      <c r="D145" s="35" t="n">
        <v>448</v>
      </c>
      <c r="E145" s="35" t="n">
        <v>20</v>
      </c>
      <c r="F145" s="35" t="n">
        <v>24</v>
      </c>
      <c r="G145" s="35" t="n">
        <v>90340</v>
      </c>
      <c r="H145" s="35" t="n">
        <v>7257</v>
      </c>
      <c r="I145" s="28" t="str">
        <f aca="false">INDEX(Campaigns!$C$2:$C$31,MATCH(B145,Campaigns!$A$2:$A$31,0))</f>
        <v>Google Search Ads</v>
      </c>
      <c r="J145" s="40" t="n">
        <f aca="false">DATE(YEAR(A145),MONTH(A145),1)</f>
        <v>46204</v>
      </c>
    </row>
    <row r="146" customFormat="false" ht="15" hidden="false" customHeight="false" outlineLevel="0" collapsed="false">
      <c r="A146" s="34" t="n">
        <v>46225</v>
      </c>
      <c r="B146" s="28" t="s">
        <v>147</v>
      </c>
      <c r="C146" s="35" t="n">
        <v>24865</v>
      </c>
      <c r="D146" s="35" t="n">
        <v>345</v>
      </c>
      <c r="E146" s="35" t="n">
        <v>6</v>
      </c>
      <c r="F146" s="35" t="n">
        <v>1</v>
      </c>
      <c r="G146" s="35" t="n">
        <v>2560</v>
      </c>
      <c r="H146" s="35" t="n">
        <v>6786</v>
      </c>
      <c r="I146" s="28" t="str">
        <f aca="false">INDEX(Campaigns!$C$2:$C$31,MATCH(B146,Campaigns!$A$2:$A$31,0))</f>
        <v>Facebook &amp; Instagram Ads</v>
      </c>
      <c r="J146" s="40" t="n">
        <f aca="false">DATE(YEAR(A146),MONTH(A146),1)</f>
        <v>46204</v>
      </c>
    </row>
    <row r="147" customFormat="false" ht="15" hidden="false" customHeight="false" outlineLevel="0" collapsed="false">
      <c r="A147" s="34" t="n">
        <v>46225</v>
      </c>
      <c r="B147" s="28" t="s">
        <v>150</v>
      </c>
      <c r="C147" s="35" t="n">
        <v>35278</v>
      </c>
      <c r="D147" s="35" t="n">
        <v>297</v>
      </c>
      <c r="E147" s="35" t="n">
        <v>16</v>
      </c>
      <c r="F147" s="35" t="n">
        <v>1</v>
      </c>
      <c r="G147" s="35" t="n">
        <v>3430</v>
      </c>
      <c r="H147" s="35" t="n">
        <v>23021</v>
      </c>
      <c r="I147" s="28" t="str">
        <f aca="false">INDEX(Campaigns!$C$2:$C$31,MATCH(B147,Campaigns!$A$2:$A$31,0))</f>
        <v>Influencer Partnerships</v>
      </c>
      <c r="J147" s="40" t="n">
        <f aca="false">DATE(YEAR(A147),MONTH(A147),1)</f>
        <v>46204</v>
      </c>
    </row>
    <row r="148" customFormat="false" ht="15" hidden="false" customHeight="false" outlineLevel="0" collapsed="false">
      <c r="A148" s="34" t="n">
        <v>46225</v>
      </c>
      <c r="B148" s="28" t="s">
        <v>156</v>
      </c>
      <c r="C148" s="35" t="n">
        <v>44187</v>
      </c>
      <c r="D148" s="35" t="n">
        <v>418</v>
      </c>
      <c r="E148" s="35" t="n">
        <v>63</v>
      </c>
      <c r="F148" s="35" t="n">
        <v>9</v>
      </c>
      <c r="G148" s="35" t="n">
        <v>25340</v>
      </c>
      <c r="H148" s="35" t="n">
        <v>8155</v>
      </c>
      <c r="I148" s="28" t="str">
        <f aca="false">INDEX(Campaigns!$C$2:$C$31,MATCH(B148,Campaigns!$A$2:$A$31,0))</f>
        <v>TikTok Ads</v>
      </c>
      <c r="J148" s="40" t="n">
        <f aca="false">DATE(YEAR(A148),MONTH(A148),1)</f>
        <v>46204</v>
      </c>
    </row>
    <row r="149" customFormat="false" ht="15" hidden="false" customHeight="false" outlineLevel="0" collapsed="false">
      <c r="A149" s="34" t="n">
        <v>46225</v>
      </c>
      <c r="B149" s="28" t="s">
        <v>159</v>
      </c>
      <c r="C149" s="35" t="n">
        <v>23745</v>
      </c>
      <c r="D149" s="35" t="n">
        <v>357</v>
      </c>
      <c r="E149" s="35" t="n">
        <v>47</v>
      </c>
      <c r="F149" s="35" t="n">
        <v>5</v>
      </c>
      <c r="G149" s="35" t="n">
        <v>14190</v>
      </c>
      <c r="H149" s="35" t="n">
        <v>5903</v>
      </c>
      <c r="I149" s="28" t="str">
        <f aca="false">INDEX(Campaigns!$C$2:$C$31,MATCH(B149,Campaigns!$A$2:$A$31,0))</f>
        <v>Facebook &amp; Instagram Ads</v>
      </c>
      <c r="J149" s="40" t="n">
        <f aca="false">DATE(YEAR(A149),MONTH(A149),1)</f>
        <v>46204</v>
      </c>
    </row>
    <row r="150" customFormat="false" ht="15" hidden="false" customHeight="false" outlineLevel="0" collapsed="false">
      <c r="A150" s="34" t="n">
        <v>46225</v>
      </c>
      <c r="B150" s="28" t="s">
        <v>163</v>
      </c>
      <c r="C150" s="35" t="n">
        <v>1568</v>
      </c>
      <c r="D150" s="35" t="n">
        <v>52</v>
      </c>
      <c r="E150" s="35" t="n">
        <v>0</v>
      </c>
      <c r="F150" s="35" t="n">
        <v>3</v>
      </c>
      <c r="G150" s="35" t="n">
        <v>10840</v>
      </c>
      <c r="H150" s="35" t="n">
        <v>583</v>
      </c>
      <c r="I150" s="28" t="str">
        <f aca="false">INDEX(Campaigns!$C$2:$C$31,MATCH(B150,Campaigns!$A$2:$A$31,0))</f>
        <v>Email</v>
      </c>
      <c r="J150" s="40" t="n">
        <f aca="false">DATE(YEAR(A150),MONTH(A150),1)</f>
        <v>46204</v>
      </c>
    </row>
    <row r="151" customFormat="false" ht="15" hidden="false" customHeight="false" outlineLevel="0" collapsed="false">
      <c r="A151" s="34" t="n">
        <v>46226</v>
      </c>
      <c r="B151" s="28" t="s">
        <v>105</v>
      </c>
      <c r="C151" s="35" t="n">
        <v>5788</v>
      </c>
      <c r="D151" s="35" t="n">
        <v>228</v>
      </c>
      <c r="E151" s="35" t="n">
        <v>8</v>
      </c>
      <c r="F151" s="35" t="n">
        <v>6</v>
      </c>
      <c r="G151" s="35" t="n">
        <v>20460</v>
      </c>
      <c r="H151" s="35" t="n">
        <v>4780</v>
      </c>
      <c r="I151" s="28" t="str">
        <f aca="false">INDEX(Campaigns!$C$2:$C$31,MATCH(B151,Campaigns!$A$2:$A$31,0))</f>
        <v>Google Search Ads</v>
      </c>
      <c r="J151" s="40" t="n">
        <f aca="false">DATE(YEAR(A151),MONTH(A151),1)</f>
        <v>46204</v>
      </c>
    </row>
    <row r="152" customFormat="false" ht="15" hidden="false" customHeight="false" outlineLevel="0" collapsed="false">
      <c r="A152" s="34" t="n">
        <v>46226</v>
      </c>
      <c r="B152" s="28" t="s">
        <v>108</v>
      </c>
      <c r="C152" s="35" t="n">
        <v>7842</v>
      </c>
      <c r="D152" s="35" t="n">
        <v>246</v>
      </c>
      <c r="E152" s="35" t="n">
        <v>7</v>
      </c>
      <c r="F152" s="35" t="n">
        <v>14</v>
      </c>
      <c r="G152" s="35" t="n">
        <v>44100</v>
      </c>
      <c r="H152" s="35" t="n">
        <v>2547</v>
      </c>
      <c r="I152" s="28" t="str">
        <f aca="false">INDEX(Campaigns!$C$2:$C$31,MATCH(B152,Campaigns!$A$2:$A$31,0))</f>
        <v>Email</v>
      </c>
      <c r="J152" s="40" t="n">
        <f aca="false">DATE(YEAR(A152),MONTH(A152),1)</f>
        <v>46204</v>
      </c>
    </row>
    <row r="153" customFormat="false" ht="15" hidden="false" customHeight="false" outlineLevel="0" collapsed="false">
      <c r="A153" s="34" t="n">
        <v>46226</v>
      </c>
      <c r="B153" s="28" t="s">
        <v>112</v>
      </c>
      <c r="C153" s="35" t="n">
        <v>1252</v>
      </c>
      <c r="D153" s="35" t="n">
        <v>69</v>
      </c>
      <c r="E153" s="35" t="n">
        <v>5</v>
      </c>
      <c r="F153" s="35" t="n">
        <v>2</v>
      </c>
      <c r="G153" s="35" t="n">
        <v>5090</v>
      </c>
      <c r="H153" s="35" t="n">
        <v>1613</v>
      </c>
      <c r="I153" s="28" t="str">
        <f aca="false">INDEX(Campaigns!$C$2:$C$31,MATCH(B153,Campaigns!$A$2:$A$31,0))</f>
        <v>WhatsApp Broadcast</v>
      </c>
      <c r="J153" s="40" t="n">
        <f aca="false">DATE(YEAR(A153),MONTH(A153),1)</f>
        <v>46204</v>
      </c>
    </row>
    <row r="154" customFormat="false" ht="15" hidden="false" customHeight="false" outlineLevel="0" collapsed="false">
      <c r="A154" s="34" t="n">
        <v>46226</v>
      </c>
      <c r="B154" s="28" t="s">
        <v>114</v>
      </c>
      <c r="C154" s="35" t="n">
        <v>637</v>
      </c>
      <c r="D154" s="35" t="n">
        <v>43</v>
      </c>
      <c r="E154" s="35" t="n">
        <v>1</v>
      </c>
      <c r="F154" s="35" t="n">
        <v>1</v>
      </c>
      <c r="G154" s="35" t="n">
        <v>4150</v>
      </c>
      <c r="H154" s="35" t="n">
        <v>931</v>
      </c>
      <c r="I154" s="28" t="str">
        <f aca="false">INDEX(Campaigns!$C$2:$C$31,MATCH(B154,Campaigns!$A$2:$A$31,0))</f>
        <v>WhatsApp Broadcast</v>
      </c>
      <c r="J154" s="40" t="n">
        <f aca="false">DATE(YEAR(A154),MONTH(A154),1)</f>
        <v>46204</v>
      </c>
    </row>
    <row r="155" customFormat="false" ht="15" hidden="false" customHeight="false" outlineLevel="0" collapsed="false">
      <c r="A155" s="34" t="n">
        <v>46226</v>
      </c>
      <c r="B155" s="28" t="s">
        <v>116</v>
      </c>
      <c r="C155" s="35" t="n">
        <v>21096</v>
      </c>
      <c r="D155" s="35" t="n">
        <v>253</v>
      </c>
      <c r="E155" s="35" t="n">
        <v>7</v>
      </c>
      <c r="F155" s="35" t="n">
        <v>6</v>
      </c>
      <c r="G155" s="35" t="n">
        <v>18070</v>
      </c>
      <c r="H155" s="35" t="n">
        <v>5503</v>
      </c>
      <c r="I155" s="28" t="str">
        <f aca="false">INDEX(Campaigns!$C$2:$C$31,MATCH(B155,Campaigns!$A$2:$A$31,0))</f>
        <v>Facebook &amp; Instagram Ads</v>
      </c>
      <c r="J155" s="40" t="n">
        <f aca="false">DATE(YEAR(A155),MONTH(A155),1)</f>
        <v>46204</v>
      </c>
    </row>
    <row r="156" customFormat="false" ht="15" hidden="false" customHeight="false" outlineLevel="0" collapsed="false">
      <c r="A156" s="34" t="n">
        <v>46226</v>
      </c>
      <c r="B156" s="28" t="s">
        <v>120</v>
      </c>
      <c r="C156" s="35" t="n">
        <v>87632</v>
      </c>
      <c r="D156" s="35" t="n">
        <v>653</v>
      </c>
      <c r="E156" s="35" t="n">
        <v>28</v>
      </c>
      <c r="F156" s="35" t="n">
        <v>9</v>
      </c>
      <c r="G156" s="35" t="n">
        <v>24760</v>
      </c>
      <c r="H156" s="35" t="n">
        <v>14461</v>
      </c>
      <c r="I156" s="28" t="str">
        <f aca="false">INDEX(Campaigns!$C$2:$C$31,MATCH(B156,Campaigns!$A$2:$A$31,0))</f>
        <v>TikTok Ads</v>
      </c>
      <c r="J156" s="40" t="n">
        <f aca="false">DATE(YEAR(A156),MONTH(A156),1)</f>
        <v>46204</v>
      </c>
    </row>
    <row r="157" customFormat="false" ht="15" hidden="false" customHeight="false" outlineLevel="0" collapsed="false">
      <c r="A157" s="34" t="n">
        <v>46226</v>
      </c>
      <c r="B157" s="28" t="s">
        <v>122</v>
      </c>
      <c r="C157" s="35" t="n">
        <v>116110</v>
      </c>
      <c r="D157" s="35" t="n">
        <v>944</v>
      </c>
      <c r="E157" s="35" t="n">
        <v>34</v>
      </c>
      <c r="F157" s="35" t="n">
        <v>8</v>
      </c>
      <c r="G157" s="35" t="n">
        <v>19950</v>
      </c>
      <c r="H157" s="35" t="n">
        <v>21517</v>
      </c>
      <c r="I157" s="28" t="str">
        <f aca="false">INDEX(Campaigns!$C$2:$C$31,MATCH(B157,Campaigns!$A$2:$A$31,0))</f>
        <v>TikTok Ads</v>
      </c>
      <c r="J157" s="40" t="n">
        <f aca="false">DATE(YEAR(A157),MONTH(A157),1)</f>
        <v>46204</v>
      </c>
    </row>
    <row r="158" customFormat="false" ht="15" hidden="false" customHeight="false" outlineLevel="0" collapsed="false">
      <c r="A158" s="34" t="n">
        <v>46226</v>
      </c>
      <c r="B158" s="28" t="s">
        <v>124</v>
      </c>
      <c r="C158" s="35" t="n">
        <v>6449</v>
      </c>
      <c r="D158" s="35" t="n">
        <v>159</v>
      </c>
      <c r="E158" s="35" t="n">
        <v>4</v>
      </c>
      <c r="F158" s="35" t="n">
        <v>4</v>
      </c>
      <c r="G158" s="35" t="n">
        <v>9620</v>
      </c>
      <c r="H158" s="35" t="n">
        <v>2245</v>
      </c>
      <c r="I158" s="28" t="str">
        <f aca="false">INDEX(Campaigns!$C$2:$C$31,MATCH(B158,Campaigns!$A$2:$A$31,0))</f>
        <v>Email</v>
      </c>
      <c r="J158" s="40" t="n">
        <f aca="false">DATE(YEAR(A158),MONTH(A158),1)</f>
        <v>46204</v>
      </c>
    </row>
    <row r="159" customFormat="false" ht="15" hidden="false" customHeight="false" outlineLevel="0" collapsed="false">
      <c r="A159" s="34" t="n">
        <v>46226</v>
      </c>
      <c r="B159" s="28" t="s">
        <v>126</v>
      </c>
      <c r="C159" s="35" t="n">
        <v>15377</v>
      </c>
      <c r="D159" s="35" t="n">
        <v>94</v>
      </c>
      <c r="E159" s="35" t="n">
        <v>5</v>
      </c>
      <c r="F159" s="35" t="n">
        <v>1</v>
      </c>
      <c r="G159" s="35" t="n">
        <v>3340</v>
      </c>
      <c r="H159" s="35" t="n">
        <v>2704</v>
      </c>
      <c r="I159" s="28" t="str">
        <f aca="false">INDEX(Campaigns!$C$2:$C$31,MATCH(B159,Campaigns!$A$2:$A$31,0))</f>
        <v>TikTok Ads</v>
      </c>
      <c r="J159" s="40" t="n">
        <f aca="false">DATE(YEAR(A159),MONTH(A159),1)</f>
        <v>46204</v>
      </c>
    </row>
    <row r="160" customFormat="false" ht="15" hidden="false" customHeight="false" outlineLevel="0" collapsed="false">
      <c r="A160" s="34" t="n">
        <v>46226</v>
      </c>
      <c r="B160" s="28" t="s">
        <v>128</v>
      </c>
      <c r="C160" s="35" t="n">
        <v>25747</v>
      </c>
      <c r="D160" s="35" t="n">
        <v>1403</v>
      </c>
      <c r="E160" s="35" t="n">
        <v>60</v>
      </c>
      <c r="F160" s="35" t="n">
        <v>89</v>
      </c>
      <c r="G160" s="35" t="n">
        <v>319790</v>
      </c>
      <c r="H160" s="35" t="n">
        <v>22634</v>
      </c>
      <c r="I160" s="28" t="str">
        <f aca="false">INDEX(Campaigns!$C$2:$C$31,MATCH(B160,Campaigns!$A$2:$A$31,0))</f>
        <v>Google Search Ads</v>
      </c>
      <c r="J160" s="40" t="n">
        <f aca="false">DATE(YEAR(A160),MONTH(A160),1)</f>
        <v>46204</v>
      </c>
    </row>
    <row r="161" customFormat="false" ht="15" hidden="false" customHeight="false" outlineLevel="0" collapsed="false">
      <c r="A161" s="34" t="n">
        <v>46226</v>
      </c>
      <c r="B161" s="28" t="s">
        <v>134</v>
      </c>
      <c r="C161" s="35" t="n">
        <v>2431</v>
      </c>
      <c r="D161" s="35" t="n">
        <v>138</v>
      </c>
      <c r="E161" s="35" t="n">
        <v>2</v>
      </c>
      <c r="F161" s="35" t="n">
        <v>1</v>
      </c>
      <c r="G161" s="35" t="n">
        <v>2650</v>
      </c>
      <c r="H161" s="35" t="n">
        <v>3411</v>
      </c>
      <c r="I161" s="28" t="str">
        <f aca="false">INDEX(Campaigns!$C$2:$C$31,MATCH(B161,Campaigns!$A$2:$A$31,0))</f>
        <v>WhatsApp Broadcast</v>
      </c>
      <c r="J161" s="40" t="n">
        <f aca="false">DATE(YEAR(A161),MONTH(A161),1)</f>
        <v>46204</v>
      </c>
    </row>
    <row r="162" customFormat="false" ht="15" hidden="false" customHeight="false" outlineLevel="0" collapsed="false">
      <c r="A162" s="34" t="n">
        <v>46226</v>
      </c>
      <c r="B162" s="28" t="s">
        <v>136</v>
      </c>
      <c r="C162" s="35" t="n">
        <v>10297</v>
      </c>
      <c r="D162" s="35" t="n">
        <v>282</v>
      </c>
      <c r="E162" s="35" t="n">
        <v>16</v>
      </c>
      <c r="F162" s="35" t="n">
        <v>19</v>
      </c>
      <c r="G162" s="35" t="n">
        <v>55390</v>
      </c>
      <c r="H162" s="35" t="n">
        <v>3469</v>
      </c>
      <c r="I162" s="28" t="str">
        <f aca="false">INDEX(Campaigns!$C$2:$C$31,MATCH(B162,Campaigns!$A$2:$A$31,0))</f>
        <v>Email</v>
      </c>
      <c r="J162" s="40" t="n">
        <f aca="false">DATE(YEAR(A162),MONTH(A162),1)</f>
        <v>46204</v>
      </c>
    </row>
    <row r="163" customFormat="false" ht="15" hidden="false" customHeight="false" outlineLevel="0" collapsed="false">
      <c r="A163" s="34" t="n">
        <v>46226</v>
      </c>
      <c r="B163" s="28" t="s">
        <v>141</v>
      </c>
      <c r="C163" s="35" t="n">
        <v>6926</v>
      </c>
      <c r="D163" s="35" t="n">
        <v>234</v>
      </c>
      <c r="E163" s="35" t="n">
        <v>11</v>
      </c>
      <c r="F163" s="35" t="n">
        <v>14</v>
      </c>
      <c r="G163" s="35" t="n">
        <v>42270</v>
      </c>
      <c r="H163" s="35" t="n">
        <v>2413</v>
      </c>
      <c r="I163" s="28" t="str">
        <f aca="false">INDEX(Campaigns!$C$2:$C$31,MATCH(B163,Campaigns!$A$2:$A$31,0))</f>
        <v>Email</v>
      </c>
      <c r="J163" s="40" t="n">
        <f aca="false">DATE(YEAR(A163),MONTH(A163),1)</f>
        <v>46204</v>
      </c>
    </row>
    <row r="164" customFormat="false" ht="15" hidden="false" customHeight="false" outlineLevel="0" collapsed="false">
      <c r="A164" s="34" t="n">
        <v>46226</v>
      </c>
      <c r="B164" s="28" t="s">
        <v>145</v>
      </c>
      <c r="C164" s="35" t="n">
        <v>8319</v>
      </c>
      <c r="D164" s="35" t="n">
        <v>451</v>
      </c>
      <c r="E164" s="35" t="n">
        <v>23</v>
      </c>
      <c r="F164" s="35" t="n">
        <v>18</v>
      </c>
      <c r="G164" s="35" t="n">
        <v>77020</v>
      </c>
      <c r="H164" s="35" t="n">
        <v>7027</v>
      </c>
      <c r="I164" s="28" t="str">
        <f aca="false">INDEX(Campaigns!$C$2:$C$31,MATCH(B164,Campaigns!$A$2:$A$31,0))</f>
        <v>Google Search Ads</v>
      </c>
      <c r="J164" s="40" t="n">
        <f aca="false">DATE(YEAR(A164),MONTH(A164),1)</f>
        <v>46204</v>
      </c>
    </row>
    <row r="165" customFormat="false" ht="15" hidden="false" customHeight="false" outlineLevel="0" collapsed="false">
      <c r="A165" s="34" t="n">
        <v>46226</v>
      </c>
      <c r="B165" s="28" t="s">
        <v>147</v>
      </c>
      <c r="C165" s="35" t="n">
        <v>23045</v>
      </c>
      <c r="D165" s="35" t="n">
        <v>289</v>
      </c>
      <c r="E165" s="35" t="n">
        <v>4</v>
      </c>
      <c r="F165" s="35" t="n">
        <v>0</v>
      </c>
      <c r="G165" s="35" t="n">
        <v>0</v>
      </c>
      <c r="H165" s="35" t="n">
        <v>5553</v>
      </c>
      <c r="I165" s="28" t="str">
        <f aca="false">INDEX(Campaigns!$C$2:$C$31,MATCH(B165,Campaigns!$A$2:$A$31,0))</f>
        <v>Facebook &amp; Instagram Ads</v>
      </c>
      <c r="J165" s="40" t="n">
        <f aca="false">DATE(YEAR(A165),MONTH(A165),1)</f>
        <v>46204</v>
      </c>
    </row>
    <row r="166" customFormat="false" ht="15" hidden="false" customHeight="false" outlineLevel="0" collapsed="false">
      <c r="A166" s="34" t="n">
        <v>46226</v>
      </c>
      <c r="B166" s="28" t="s">
        <v>150</v>
      </c>
      <c r="C166" s="35" t="n">
        <v>39335</v>
      </c>
      <c r="D166" s="35" t="n">
        <v>340</v>
      </c>
      <c r="E166" s="35" t="n">
        <v>12</v>
      </c>
      <c r="F166" s="35" t="n">
        <v>1</v>
      </c>
      <c r="G166" s="35" t="n">
        <v>3090</v>
      </c>
      <c r="H166" s="35" t="n">
        <v>23407</v>
      </c>
      <c r="I166" s="28" t="str">
        <f aca="false">INDEX(Campaigns!$C$2:$C$31,MATCH(B166,Campaigns!$A$2:$A$31,0))</f>
        <v>Influencer Partnerships</v>
      </c>
      <c r="J166" s="40" t="n">
        <f aca="false">DATE(YEAR(A166),MONTH(A166),1)</f>
        <v>46204</v>
      </c>
    </row>
    <row r="167" customFormat="false" ht="15" hidden="false" customHeight="false" outlineLevel="0" collapsed="false">
      <c r="A167" s="34" t="n">
        <v>46226</v>
      </c>
      <c r="B167" s="28" t="s">
        <v>156</v>
      </c>
      <c r="C167" s="35" t="n">
        <v>46204</v>
      </c>
      <c r="D167" s="35" t="n">
        <v>410</v>
      </c>
      <c r="E167" s="35" t="n">
        <v>67</v>
      </c>
      <c r="F167" s="35" t="n">
        <v>16</v>
      </c>
      <c r="G167" s="35" t="n">
        <v>40670</v>
      </c>
      <c r="H167" s="35" t="n">
        <v>8418</v>
      </c>
      <c r="I167" s="28" t="str">
        <f aca="false">INDEX(Campaigns!$C$2:$C$31,MATCH(B167,Campaigns!$A$2:$A$31,0))</f>
        <v>TikTok Ads</v>
      </c>
      <c r="J167" s="40" t="n">
        <f aca="false">DATE(YEAR(A167),MONTH(A167),1)</f>
        <v>46204</v>
      </c>
    </row>
    <row r="168" customFormat="false" ht="15" hidden="false" customHeight="false" outlineLevel="0" collapsed="false">
      <c r="A168" s="34" t="n">
        <v>46226</v>
      </c>
      <c r="B168" s="28" t="s">
        <v>159</v>
      </c>
      <c r="C168" s="35" t="n">
        <v>20538</v>
      </c>
      <c r="D168" s="35" t="n">
        <v>317</v>
      </c>
      <c r="E168" s="35" t="n">
        <v>42</v>
      </c>
      <c r="F168" s="35" t="n">
        <v>3</v>
      </c>
      <c r="G168" s="35" t="n">
        <v>11700</v>
      </c>
      <c r="H168" s="35" t="n">
        <v>5413</v>
      </c>
      <c r="I168" s="28" t="str">
        <f aca="false">INDEX(Campaigns!$C$2:$C$31,MATCH(B168,Campaigns!$A$2:$A$31,0))</f>
        <v>Facebook &amp; Instagram Ads</v>
      </c>
      <c r="J168" s="40" t="n">
        <f aca="false">DATE(YEAR(A168),MONTH(A168),1)</f>
        <v>46204</v>
      </c>
    </row>
    <row r="169" customFormat="false" ht="15" hidden="false" customHeight="false" outlineLevel="0" collapsed="false">
      <c r="A169" s="34" t="n">
        <v>46226</v>
      </c>
      <c r="B169" s="28" t="s">
        <v>163</v>
      </c>
      <c r="C169" s="35" t="n">
        <v>1627</v>
      </c>
      <c r="D169" s="35" t="n">
        <v>62</v>
      </c>
      <c r="E169" s="35" t="n">
        <v>2</v>
      </c>
      <c r="F169" s="35" t="n">
        <v>1</v>
      </c>
      <c r="G169" s="35" t="n">
        <v>2130</v>
      </c>
      <c r="H169" s="35" t="n">
        <v>527</v>
      </c>
      <c r="I169" s="28" t="str">
        <f aca="false">INDEX(Campaigns!$C$2:$C$31,MATCH(B169,Campaigns!$A$2:$A$31,0))</f>
        <v>Email</v>
      </c>
      <c r="J169" s="40" t="n">
        <f aca="false">DATE(YEAR(A169),MONTH(A169),1)</f>
        <v>46204</v>
      </c>
    </row>
    <row r="170" customFormat="false" ht="15" hidden="false" customHeight="false" outlineLevel="0" collapsed="false">
      <c r="A170" s="34" t="n">
        <v>46227</v>
      </c>
      <c r="B170" s="28" t="s">
        <v>105</v>
      </c>
      <c r="C170" s="35" t="n">
        <v>5926</v>
      </c>
      <c r="D170" s="35" t="n">
        <v>245</v>
      </c>
      <c r="E170" s="35" t="n">
        <v>15</v>
      </c>
      <c r="F170" s="35" t="n">
        <v>2</v>
      </c>
      <c r="G170" s="35" t="n">
        <v>8300</v>
      </c>
      <c r="H170" s="35" t="n">
        <v>5545</v>
      </c>
      <c r="I170" s="28" t="str">
        <f aca="false">INDEX(Campaigns!$C$2:$C$31,MATCH(B170,Campaigns!$A$2:$A$31,0))</f>
        <v>Google Search Ads</v>
      </c>
      <c r="J170" s="40" t="n">
        <f aca="false">DATE(YEAR(A170),MONTH(A170),1)</f>
        <v>46204</v>
      </c>
    </row>
    <row r="171" customFormat="false" ht="15" hidden="false" customHeight="false" outlineLevel="0" collapsed="false">
      <c r="A171" s="34" t="n">
        <v>46227</v>
      </c>
      <c r="B171" s="28" t="s">
        <v>108</v>
      </c>
      <c r="C171" s="35" t="n">
        <v>7998</v>
      </c>
      <c r="D171" s="35" t="n">
        <v>261</v>
      </c>
      <c r="E171" s="35" t="n">
        <v>8</v>
      </c>
      <c r="F171" s="35" t="n">
        <v>14</v>
      </c>
      <c r="G171" s="35" t="n">
        <v>41310</v>
      </c>
      <c r="H171" s="35" t="n">
        <v>2560</v>
      </c>
      <c r="I171" s="28" t="str">
        <f aca="false">INDEX(Campaigns!$C$2:$C$31,MATCH(B171,Campaigns!$A$2:$A$31,0))</f>
        <v>Email</v>
      </c>
      <c r="J171" s="40" t="n">
        <f aca="false">DATE(YEAR(A171),MONTH(A171),1)</f>
        <v>46204</v>
      </c>
    </row>
    <row r="172" customFormat="false" ht="15" hidden="false" customHeight="false" outlineLevel="0" collapsed="false">
      <c r="A172" s="34" t="n">
        <v>46227</v>
      </c>
      <c r="B172" s="28" t="s">
        <v>112</v>
      </c>
      <c r="C172" s="35" t="n">
        <v>1056</v>
      </c>
      <c r="D172" s="35" t="n">
        <v>64</v>
      </c>
      <c r="E172" s="35" t="n">
        <v>6</v>
      </c>
      <c r="F172" s="35" t="n">
        <v>2</v>
      </c>
      <c r="G172" s="35" t="n">
        <v>5880</v>
      </c>
      <c r="H172" s="35" t="n">
        <v>1615</v>
      </c>
      <c r="I172" s="28" t="str">
        <f aca="false">INDEX(Campaigns!$C$2:$C$31,MATCH(B172,Campaigns!$A$2:$A$31,0))</f>
        <v>WhatsApp Broadcast</v>
      </c>
      <c r="J172" s="40" t="n">
        <f aca="false">DATE(YEAR(A172),MONTH(A172),1)</f>
        <v>46204</v>
      </c>
    </row>
    <row r="173" customFormat="false" ht="15" hidden="false" customHeight="false" outlineLevel="0" collapsed="false">
      <c r="A173" s="34" t="n">
        <v>46227</v>
      </c>
      <c r="B173" s="28" t="s">
        <v>114</v>
      </c>
      <c r="C173" s="35" t="n">
        <v>763</v>
      </c>
      <c r="D173" s="35" t="n">
        <v>42</v>
      </c>
      <c r="E173" s="35" t="n">
        <v>2</v>
      </c>
      <c r="F173" s="35" t="n">
        <v>2</v>
      </c>
      <c r="G173" s="35" t="n">
        <v>5750</v>
      </c>
      <c r="H173" s="35" t="n">
        <v>1036</v>
      </c>
      <c r="I173" s="28" t="str">
        <f aca="false">INDEX(Campaigns!$C$2:$C$31,MATCH(B173,Campaigns!$A$2:$A$31,0))</f>
        <v>WhatsApp Broadcast</v>
      </c>
      <c r="J173" s="40" t="n">
        <f aca="false">DATE(YEAR(A173),MONTH(A173),1)</f>
        <v>46204</v>
      </c>
    </row>
    <row r="174" customFormat="false" ht="15" hidden="false" customHeight="false" outlineLevel="0" collapsed="false">
      <c r="A174" s="34" t="n">
        <v>46227</v>
      </c>
      <c r="B174" s="28" t="s">
        <v>116</v>
      </c>
      <c r="C174" s="35" t="n">
        <v>22121</v>
      </c>
      <c r="D174" s="35" t="n">
        <v>213</v>
      </c>
      <c r="E174" s="35" t="n">
        <v>9</v>
      </c>
      <c r="F174" s="35" t="n">
        <v>4</v>
      </c>
      <c r="G174" s="35" t="n">
        <v>14520</v>
      </c>
      <c r="H174" s="35" t="n">
        <v>5588</v>
      </c>
      <c r="I174" s="28" t="str">
        <f aca="false">INDEX(Campaigns!$C$2:$C$31,MATCH(B174,Campaigns!$A$2:$A$31,0))</f>
        <v>Facebook &amp; Instagram Ads</v>
      </c>
      <c r="J174" s="40" t="n">
        <f aca="false">DATE(YEAR(A174),MONTH(A174),1)</f>
        <v>46204</v>
      </c>
    </row>
    <row r="175" customFormat="false" ht="15" hidden="false" customHeight="false" outlineLevel="0" collapsed="false">
      <c r="A175" s="34" t="n">
        <v>46227</v>
      </c>
      <c r="B175" s="28" t="s">
        <v>120</v>
      </c>
      <c r="C175" s="35" t="n">
        <v>82181</v>
      </c>
      <c r="D175" s="35" t="n">
        <v>651</v>
      </c>
      <c r="E175" s="35" t="n">
        <v>30</v>
      </c>
      <c r="F175" s="35" t="n">
        <v>7</v>
      </c>
      <c r="G175" s="35" t="n">
        <v>16620</v>
      </c>
      <c r="H175" s="35" t="n">
        <v>16247</v>
      </c>
      <c r="I175" s="28" t="str">
        <f aca="false">INDEX(Campaigns!$C$2:$C$31,MATCH(B175,Campaigns!$A$2:$A$31,0))</f>
        <v>TikTok Ads</v>
      </c>
      <c r="J175" s="40" t="n">
        <f aca="false">DATE(YEAR(A175),MONTH(A175),1)</f>
        <v>46204</v>
      </c>
    </row>
    <row r="176" customFormat="false" ht="15" hidden="false" customHeight="false" outlineLevel="0" collapsed="false">
      <c r="A176" s="34" t="n">
        <v>46227</v>
      </c>
      <c r="B176" s="28" t="s">
        <v>122</v>
      </c>
      <c r="C176" s="35" t="n">
        <v>154341</v>
      </c>
      <c r="D176" s="35" t="n">
        <v>1285</v>
      </c>
      <c r="E176" s="35" t="n">
        <v>66</v>
      </c>
      <c r="F176" s="35" t="n">
        <v>9</v>
      </c>
      <c r="G176" s="35" t="n">
        <v>23650</v>
      </c>
      <c r="H176" s="35" t="n">
        <v>29010</v>
      </c>
      <c r="I176" s="28" t="str">
        <f aca="false">INDEX(Campaigns!$C$2:$C$31,MATCH(B176,Campaigns!$A$2:$A$31,0))</f>
        <v>TikTok Ads</v>
      </c>
      <c r="J176" s="40" t="n">
        <f aca="false">DATE(YEAR(A176),MONTH(A176),1)</f>
        <v>46204</v>
      </c>
    </row>
    <row r="177" customFormat="false" ht="15" hidden="false" customHeight="false" outlineLevel="0" collapsed="false">
      <c r="A177" s="34" t="n">
        <v>46227</v>
      </c>
      <c r="B177" s="28" t="s">
        <v>124</v>
      </c>
      <c r="C177" s="35" t="n">
        <v>7595</v>
      </c>
      <c r="D177" s="35" t="n">
        <v>177</v>
      </c>
      <c r="E177" s="35" t="n">
        <v>9</v>
      </c>
      <c r="F177" s="35" t="n">
        <v>4</v>
      </c>
      <c r="G177" s="35" t="n">
        <v>12990</v>
      </c>
      <c r="H177" s="35" t="n">
        <v>2834</v>
      </c>
      <c r="I177" s="28" t="str">
        <f aca="false">INDEX(Campaigns!$C$2:$C$31,MATCH(B177,Campaigns!$A$2:$A$31,0))</f>
        <v>Email</v>
      </c>
      <c r="J177" s="40" t="n">
        <f aca="false">DATE(YEAR(A177),MONTH(A177),1)</f>
        <v>46204</v>
      </c>
    </row>
    <row r="178" customFormat="false" ht="15" hidden="false" customHeight="false" outlineLevel="0" collapsed="false">
      <c r="A178" s="34" t="n">
        <v>46227</v>
      </c>
      <c r="B178" s="28" t="s">
        <v>126</v>
      </c>
      <c r="C178" s="35" t="n">
        <v>16852</v>
      </c>
      <c r="D178" s="35" t="n">
        <v>115</v>
      </c>
      <c r="E178" s="35" t="n">
        <v>6</v>
      </c>
      <c r="F178" s="35" t="n">
        <v>0</v>
      </c>
      <c r="G178" s="35" t="n">
        <v>0</v>
      </c>
      <c r="H178" s="35" t="n">
        <v>3212</v>
      </c>
      <c r="I178" s="28" t="str">
        <f aca="false">INDEX(Campaigns!$C$2:$C$31,MATCH(B178,Campaigns!$A$2:$A$31,0))</f>
        <v>TikTok Ads</v>
      </c>
      <c r="J178" s="40" t="n">
        <f aca="false">DATE(YEAR(A178),MONTH(A178),1)</f>
        <v>46204</v>
      </c>
    </row>
    <row r="179" customFormat="false" ht="15" hidden="false" customHeight="false" outlineLevel="0" collapsed="false">
      <c r="A179" s="34" t="n">
        <v>46227</v>
      </c>
      <c r="B179" s="28" t="s">
        <v>128</v>
      </c>
      <c r="C179" s="35" t="n">
        <v>25256</v>
      </c>
      <c r="D179" s="35" t="n">
        <v>1442</v>
      </c>
      <c r="E179" s="35" t="n">
        <v>45</v>
      </c>
      <c r="F179" s="35" t="n">
        <v>99</v>
      </c>
      <c r="G179" s="35" t="n">
        <v>387920</v>
      </c>
      <c r="H179" s="35" t="n">
        <v>21779</v>
      </c>
      <c r="I179" s="28" t="str">
        <f aca="false">INDEX(Campaigns!$C$2:$C$31,MATCH(B179,Campaigns!$A$2:$A$31,0))</f>
        <v>Google Search Ads</v>
      </c>
      <c r="J179" s="40" t="n">
        <f aca="false">DATE(YEAR(A179),MONTH(A179),1)</f>
        <v>46204</v>
      </c>
    </row>
    <row r="180" customFormat="false" ht="15" hidden="false" customHeight="false" outlineLevel="0" collapsed="false">
      <c r="A180" s="34" t="n">
        <v>46227</v>
      </c>
      <c r="B180" s="28" t="s">
        <v>134</v>
      </c>
      <c r="C180" s="35" t="n">
        <v>2636</v>
      </c>
      <c r="D180" s="35" t="n">
        <v>166</v>
      </c>
      <c r="E180" s="35" t="n">
        <v>9</v>
      </c>
      <c r="F180" s="35" t="n">
        <v>11</v>
      </c>
      <c r="G180" s="35" t="n">
        <v>30110</v>
      </c>
      <c r="H180" s="35" t="n">
        <v>3451</v>
      </c>
      <c r="I180" s="28" t="str">
        <f aca="false">INDEX(Campaigns!$C$2:$C$31,MATCH(B180,Campaigns!$A$2:$A$31,0))</f>
        <v>WhatsApp Broadcast</v>
      </c>
      <c r="J180" s="40" t="n">
        <f aca="false">DATE(YEAR(A180),MONTH(A180),1)</f>
        <v>46204</v>
      </c>
    </row>
    <row r="181" customFormat="false" ht="15" hidden="false" customHeight="false" outlineLevel="0" collapsed="false">
      <c r="A181" s="34" t="n">
        <v>46227</v>
      </c>
      <c r="B181" s="28" t="s">
        <v>136</v>
      </c>
      <c r="C181" s="35" t="n">
        <v>14427</v>
      </c>
      <c r="D181" s="35" t="n">
        <v>407</v>
      </c>
      <c r="E181" s="35" t="n">
        <v>19</v>
      </c>
      <c r="F181" s="35" t="n">
        <v>17</v>
      </c>
      <c r="G181" s="35" t="n">
        <v>49530</v>
      </c>
      <c r="H181" s="35" t="n">
        <v>4931</v>
      </c>
      <c r="I181" s="28" t="str">
        <f aca="false">INDEX(Campaigns!$C$2:$C$31,MATCH(B181,Campaigns!$A$2:$A$31,0))</f>
        <v>Email</v>
      </c>
      <c r="J181" s="40" t="n">
        <f aca="false">DATE(YEAR(A181),MONTH(A181),1)</f>
        <v>46204</v>
      </c>
    </row>
    <row r="182" customFormat="false" ht="15" hidden="false" customHeight="false" outlineLevel="0" collapsed="false">
      <c r="A182" s="34" t="n">
        <v>46227</v>
      </c>
      <c r="B182" s="28" t="s">
        <v>139</v>
      </c>
      <c r="C182" s="35" t="n">
        <v>18811</v>
      </c>
      <c r="D182" s="35" t="n">
        <v>217</v>
      </c>
      <c r="E182" s="35" t="n">
        <v>14</v>
      </c>
      <c r="F182" s="35" t="n">
        <v>1</v>
      </c>
      <c r="G182" s="35" t="n">
        <v>2050</v>
      </c>
      <c r="H182" s="35" t="n">
        <v>3147</v>
      </c>
      <c r="I182" s="28" t="str">
        <f aca="false">INDEX(Campaigns!$C$2:$C$31,MATCH(B182,Campaigns!$A$2:$A$31,0))</f>
        <v>TikTok Ads</v>
      </c>
      <c r="J182" s="40" t="n">
        <f aca="false">DATE(YEAR(A182),MONTH(A182),1)</f>
        <v>46204</v>
      </c>
    </row>
    <row r="183" customFormat="false" ht="15" hidden="false" customHeight="false" outlineLevel="0" collapsed="false">
      <c r="A183" s="34" t="n">
        <v>46227</v>
      </c>
      <c r="B183" s="28" t="s">
        <v>141</v>
      </c>
      <c r="C183" s="35" t="n">
        <v>8359</v>
      </c>
      <c r="D183" s="35" t="n">
        <v>287</v>
      </c>
      <c r="E183" s="35" t="n">
        <v>16</v>
      </c>
      <c r="F183" s="35" t="n">
        <v>15</v>
      </c>
      <c r="G183" s="35" t="n">
        <v>46190</v>
      </c>
      <c r="H183" s="35" t="n">
        <v>3115</v>
      </c>
      <c r="I183" s="28" t="str">
        <f aca="false">INDEX(Campaigns!$C$2:$C$31,MATCH(B183,Campaigns!$A$2:$A$31,0))</f>
        <v>Email</v>
      </c>
      <c r="J183" s="40" t="n">
        <f aca="false">DATE(YEAR(A183),MONTH(A183),1)</f>
        <v>46204</v>
      </c>
    </row>
    <row r="184" customFormat="false" ht="15" hidden="false" customHeight="false" outlineLevel="0" collapsed="false">
      <c r="A184" s="34" t="n">
        <v>46227</v>
      </c>
      <c r="B184" s="28" t="s">
        <v>145</v>
      </c>
      <c r="C184" s="35" t="n">
        <v>10767</v>
      </c>
      <c r="D184" s="35" t="n">
        <v>584</v>
      </c>
      <c r="E184" s="35" t="n">
        <v>24</v>
      </c>
      <c r="F184" s="35" t="n">
        <v>28</v>
      </c>
      <c r="G184" s="35" t="n">
        <v>106770</v>
      </c>
      <c r="H184" s="35" t="n">
        <v>8945</v>
      </c>
      <c r="I184" s="28" t="str">
        <f aca="false">INDEX(Campaigns!$C$2:$C$31,MATCH(B184,Campaigns!$A$2:$A$31,0))</f>
        <v>Google Search Ads</v>
      </c>
      <c r="J184" s="40" t="n">
        <f aca="false">DATE(YEAR(A184),MONTH(A184),1)</f>
        <v>46204</v>
      </c>
    </row>
    <row r="185" customFormat="false" ht="15" hidden="false" customHeight="false" outlineLevel="0" collapsed="false">
      <c r="A185" s="34" t="n">
        <v>46227</v>
      </c>
      <c r="B185" s="28" t="s">
        <v>147</v>
      </c>
      <c r="C185" s="35" t="n">
        <v>22398</v>
      </c>
      <c r="D185" s="35" t="n">
        <v>296</v>
      </c>
      <c r="E185" s="35" t="n">
        <v>12</v>
      </c>
      <c r="F185" s="35" t="n">
        <v>1</v>
      </c>
      <c r="G185" s="35" t="n">
        <v>5040</v>
      </c>
      <c r="H185" s="35" t="n">
        <v>6216</v>
      </c>
      <c r="I185" s="28" t="str">
        <f aca="false">INDEX(Campaigns!$C$2:$C$31,MATCH(B185,Campaigns!$A$2:$A$31,0))</f>
        <v>Facebook &amp; Instagram Ads</v>
      </c>
      <c r="J185" s="40" t="n">
        <f aca="false">DATE(YEAR(A185),MONTH(A185),1)</f>
        <v>46204</v>
      </c>
    </row>
    <row r="186" customFormat="false" ht="15" hidden="false" customHeight="false" outlineLevel="0" collapsed="false">
      <c r="A186" s="34" t="n">
        <v>46227</v>
      </c>
      <c r="B186" s="28" t="s">
        <v>156</v>
      </c>
      <c r="C186" s="35" t="n">
        <v>39413</v>
      </c>
      <c r="D186" s="35" t="n">
        <v>346</v>
      </c>
      <c r="E186" s="35" t="n">
        <v>50</v>
      </c>
      <c r="F186" s="35" t="n">
        <v>5</v>
      </c>
      <c r="G186" s="35" t="n">
        <v>14060</v>
      </c>
      <c r="H186" s="35" t="n">
        <v>7719</v>
      </c>
      <c r="I186" s="28" t="str">
        <f aca="false">INDEX(Campaigns!$C$2:$C$31,MATCH(B186,Campaigns!$A$2:$A$31,0))</f>
        <v>TikTok Ads</v>
      </c>
      <c r="J186" s="40" t="n">
        <f aca="false">DATE(YEAR(A186),MONTH(A186),1)</f>
        <v>46204</v>
      </c>
    </row>
    <row r="187" customFormat="false" ht="15" hidden="false" customHeight="false" outlineLevel="0" collapsed="false">
      <c r="A187" s="34" t="n">
        <v>46227</v>
      </c>
      <c r="B187" s="28" t="s">
        <v>159</v>
      </c>
      <c r="C187" s="35" t="n">
        <v>33180</v>
      </c>
      <c r="D187" s="35" t="n">
        <v>459</v>
      </c>
      <c r="E187" s="35" t="n">
        <v>70</v>
      </c>
      <c r="F187" s="35" t="n">
        <v>7</v>
      </c>
      <c r="G187" s="35" t="n">
        <v>22000</v>
      </c>
      <c r="H187" s="35" t="n">
        <v>7627</v>
      </c>
      <c r="I187" s="28" t="str">
        <f aca="false">INDEX(Campaigns!$C$2:$C$31,MATCH(B187,Campaigns!$A$2:$A$31,0))</f>
        <v>Facebook &amp; Instagram Ads</v>
      </c>
      <c r="J187" s="40" t="n">
        <f aca="false">DATE(YEAR(A187),MONTH(A187),1)</f>
        <v>46204</v>
      </c>
    </row>
    <row r="188" customFormat="false" ht="15" hidden="false" customHeight="false" outlineLevel="0" collapsed="false">
      <c r="A188" s="34" t="n">
        <v>46227</v>
      </c>
      <c r="B188" s="28" t="s">
        <v>163</v>
      </c>
      <c r="C188" s="35" t="n">
        <v>1489</v>
      </c>
      <c r="D188" s="35" t="n">
        <v>47</v>
      </c>
      <c r="E188" s="35" t="n">
        <v>3</v>
      </c>
      <c r="F188" s="35" t="n">
        <v>1</v>
      </c>
      <c r="G188" s="35" t="n">
        <v>1760</v>
      </c>
      <c r="H188" s="35" t="n">
        <v>487</v>
      </c>
      <c r="I188" s="28" t="str">
        <f aca="false">INDEX(Campaigns!$C$2:$C$31,MATCH(B188,Campaigns!$A$2:$A$31,0))</f>
        <v>Email</v>
      </c>
      <c r="J188" s="40" t="n">
        <f aca="false">DATE(YEAR(A188),MONTH(A188),1)</f>
        <v>46204</v>
      </c>
    </row>
    <row r="189" customFormat="false" ht="15" hidden="false" customHeight="false" outlineLevel="0" collapsed="false">
      <c r="A189" s="34" t="n">
        <v>46228</v>
      </c>
      <c r="B189" s="28" t="s">
        <v>105</v>
      </c>
      <c r="C189" s="35" t="n">
        <v>5681</v>
      </c>
      <c r="D189" s="35" t="n">
        <v>211</v>
      </c>
      <c r="E189" s="35" t="n">
        <v>11</v>
      </c>
      <c r="F189" s="35" t="n">
        <v>6</v>
      </c>
      <c r="G189" s="35" t="n">
        <v>24200</v>
      </c>
      <c r="H189" s="35" t="n">
        <v>4848</v>
      </c>
      <c r="I189" s="28" t="str">
        <f aca="false">INDEX(Campaigns!$C$2:$C$31,MATCH(B189,Campaigns!$A$2:$A$31,0))</f>
        <v>Google Search Ads</v>
      </c>
      <c r="J189" s="40" t="n">
        <f aca="false">DATE(YEAR(A189),MONTH(A189),1)</f>
        <v>46204</v>
      </c>
    </row>
    <row r="190" customFormat="false" ht="15" hidden="false" customHeight="false" outlineLevel="0" collapsed="false">
      <c r="A190" s="34" t="n">
        <v>46228</v>
      </c>
      <c r="B190" s="28" t="s">
        <v>108</v>
      </c>
      <c r="C190" s="35" t="n">
        <v>7367</v>
      </c>
      <c r="D190" s="35" t="n">
        <v>240</v>
      </c>
      <c r="E190" s="35" t="n">
        <v>11</v>
      </c>
      <c r="F190" s="35" t="n">
        <v>10</v>
      </c>
      <c r="G190" s="35" t="n">
        <v>35690</v>
      </c>
      <c r="H190" s="35" t="n">
        <v>2708</v>
      </c>
      <c r="I190" s="28" t="str">
        <f aca="false">INDEX(Campaigns!$C$2:$C$31,MATCH(B190,Campaigns!$A$2:$A$31,0))</f>
        <v>Email</v>
      </c>
      <c r="J190" s="40" t="n">
        <f aca="false">DATE(YEAR(A190),MONTH(A190),1)</f>
        <v>46204</v>
      </c>
    </row>
    <row r="191" customFormat="false" ht="15" hidden="false" customHeight="false" outlineLevel="0" collapsed="false">
      <c r="A191" s="34" t="n">
        <v>46228</v>
      </c>
      <c r="B191" s="28" t="s">
        <v>112</v>
      </c>
      <c r="C191" s="35" t="n">
        <v>1109</v>
      </c>
      <c r="D191" s="35" t="n">
        <v>66</v>
      </c>
      <c r="E191" s="35" t="n">
        <v>3</v>
      </c>
      <c r="F191" s="35" t="n">
        <v>2</v>
      </c>
      <c r="G191" s="35" t="n">
        <v>6270</v>
      </c>
      <c r="H191" s="35" t="n">
        <v>1425</v>
      </c>
      <c r="I191" s="28" t="str">
        <f aca="false">INDEX(Campaigns!$C$2:$C$31,MATCH(B191,Campaigns!$A$2:$A$31,0))</f>
        <v>WhatsApp Broadcast</v>
      </c>
      <c r="J191" s="40" t="n">
        <f aca="false">DATE(YEAR(A191),MONTH(A191),1)</f>
        <v>46204</v>
      </c>
    </row>
    <row r="192" customFormat="false" ht="15" hidden="false" customHeight="false" outlineLevel="0" collapsed="false">
      <c r="A192" s="34" t="n">
        <v>46228</v>
      </c>
      <c r="B192" s="28" t="s">
        <v>114</v>
      </c>
      <c r="C192" s="35" t="n">
        <v>786</v>
      </c>
      <c r="D192" s="35" t="n">
        <v>59</v>
      </c>
      <c r="E192" s="35" t="n">
        <v>2</v>
      </c>
      <c r="F192" s="35" t="n">
        <v>2</v>
      </c>
      <c r="G192" s="35" t="n">
        <v>4840</v>
      </c>
      <c r="H192" s="35" t="n">
        <v>1015</v>
      </c>
      <c r="I192" s="28" t="str">
        <f aca="false">INDEX(Campaigns!$C$2:$C$31,MATCH(B192,Campaigns!$A$2:$A$31,0))</f>
        <v>WhatsApp Broadcast</v>
      </c>
      <c r="J192" s="40" t="n">
        <f aca="false">DATE(YEAR(A192),MONTH(A192),1)</f>
        <v>46204</v>
      </c>
    </row>
    <row r="193" customFormat="false" ht="15" hidden="false" customHeight="false" outlineLevel="0" collapsed="false">
      <c r="A193" s="34" t="n">
        <v>46228</v>
      </c>
      <c r="B193" s="28" t="s">
        <v>116</v>
      </c>
      <c r="C193" s="35" t="n">
        <v>26740</v>
      </c>
      <c r="D193" s="35" t="n">
        <v>338</v>
      </c>
      <c r="E193" s="35" t="n">
        <v>11</v>
      </c>
      <c r="F193" s="35" t="n">
        <v>3</v>
      </c>
      <c r="G193" s="35" t="n">
        <v>9300</v>
      </c>
      <c r="H193" s="35" t="n">
        <v>6731</v>
      </c>
      <c r="I193" s="28" t="str">
        <f aca="false">INDEX(Campaigns!$C$2:$C$31,MATCH(B193,Campaigns!$A$2:$A$31,0))</f>
        <v>Facebook &amp; Instagram Ads</v>
      </c>
      <c r="J193" s="40" t="n">
        <f aca="false">DATE(YEAR(A193),MONTH(A193),1)</f>
        <v>46204</v>
      </c>
    </row>
    <row r="194" customFormat="false" ht="15" hidden="false" customHeight="false" outlineLevel="0" collapsed="false">
      <c r="A194" s="34" t="n">
        <v>46228</v>
      </c>
      <c r="B194" s="28" t="s">
        <v>120</v>
      </c>
      <c r="C194" s="35" t="n">
        <v>98984</v>
      </c>
      <c r="D194" s="35" t="n">
        <v>758</v>
      </c>
      <c r="E194" s="35" t="n">
        <v>30</v>
      </c>
      <c r="F194" s="35" t="n">
        <v>4</v>
      </c>
      <c r="G194" s="35" t="n">
        <v>9550</v>
      </c>
      <c r="H194" s="35" t="n">
        <v>17279</v>
      </c>
      <c r="I194" s="28" t="str">
        <f aca="false">INDEX(Campaigns!$C$2:$C$31,MATCH(B194,Campaigns!$A$2:$A$31,0))</f>
        <v>TikTok Ads</v>
      </c>
      <c r="J194" s="40" t="n">
        <f aca="false">DATE(YEAR(A194),MONTH(A194),1)</f>
        <v>46204</v>
      </c>
    </row>
    <row r="195" customFormat="false" ht="15" hidden="false" customHeight="false" outlineLevel="0" collapsed="false">
      <c r="A195" s="34" t="n">
        <v>46228</v>
      </c>
      <c r="B195" s="28" t="s">
        <v>124</v>
      </c>
      <c r="C195" s="35" t="n">
        <v>7839</v>
      </c>
      <c r="D195" s="35" t="n">
        <v>180</v>
      </c>
      <c r="E195" s="35" t="n">
        <v>9</v>
      </c>
      <c r="F195" s="35" t="n">
        <v>3</v>
      </c>
      <c r="G195" s="35" t="n">
        <v>10730</v>
      </c>
      <c r="H195" s="35" t="n">
        <v>2756</v>
      </c>
      <c r="I195" s="28" t="str">
        <f aca="false">INDEX(Campaigns!$C$2:$C$31,MATCH(B195,Campaigns!$A$2:$A$31,0))</f>
        <v>Email</v>
      </c>
      <c r="J195" s="40" t="n">
        <f aca="false">DATE(YEAR(A195),MONTH(A195),1)</f>
        <v>46204</v>
      </c>
    </row>
    <row r="196" customFormat="false" ht="15" hidden="false" customHeight="false" outlineLevel="0" collapsed="false">
      <c r="A196" s="34" t="n">
        <v>46228</v>
      </c>
      <c r="B196" s="28" t="s">
        <v>128</v>
      </c>
      <c r="C196" s="35" t="n">
        <v>24993</v>
      </c>
      <c r="D196" s="35" t="n">
        <v>1427</v>
      </c>
      <c r="E196" s="35" t="n">
        <v>66</v>
      </c>
      <c r="F196" s="35" t="n">
        <v>82</v>
      </c>
      <c r="G196" s="35" t="n">
        <v>292600</v>
      </c>
      <c r="H196" s="35" t="n">
        <v>22263</v>
      </c>
      <c r="I196" s="28" t="str">
        <f aca="false">INDEX(Campaigns!$C$2:$C$31,MATCH(B196,Campaigns!$A$2:$A$31,0))</f>
        <v>Google Search Ads</v>
      </c>
      <c r="J196" s="40" t="n">
        <f aca="false">DATE(YEAR(A196),MONTH(A196),1)</f>
        <v>46204</v>
      </c>
    </row>
    <row r="197" customFormat="false" ht="15" hidden="false" customHeight="false" outlineLevel="0" collapsed="false">
      <c r="A197" s="34" t="n">
        <v>46228</v>
      </c>
      <c r="B197" s="28" t="s">
        <v>134</v>
      </c>
      <c r="C197" s="35" t="n">
        <v>2560</v>
      </c>
      <c r="D197" s="35" t="n">
        <v>175</v>
      </c>
      <c r="E197" s="35" t="n">
        <v>10</v>
      </c>
      <c r="F197" s="35" t="n">
        <v>11</v>
      </c>
      <c r="G197" s="35" t="n">
        <v>35650</v>
      </c>
      <c r="H197" s="35" t="n">
        <v>3287</v>
      </c>
      <c r="I197" s="28" t="str">
        <f aca="false">INDEX(Campaigns!$C$2:$C$31,MATCH(B197,Campaigns!$A$2:$A$31,0))</f>
        <v>WhatsApp Broadcast</v>
      </c>
      <c r="J197" s="40" t="n">
        <f aca="false">DATE(YEAR(A197),MONTH(A197),1)</f>
        <v>46204</v>
      </c>
    </row>
    <row r="198" customFormat="false" ht="15" hidden="false" customHeight="false" outlineLevel="0" collapsed="false">
      <c r="A198" s="34" t="n">
        <v>46228</v>
      </c>
      <c r="B198" s="28" t="s">
        <v>136</v>
      </c>
      <c r="C198" s="35" t="n">
        <v>13818</v>
      </c>
      <c r="D198" s="35" t="n">
        <v>383</v>
      </c>
      <c r="E198" s="35" t="n">
        <v>15</v>
      </c>
      <c r="F198" s="35" t="n">
        <v>14</v>
      </c>
      <c r="G198" s="35" t="n">
        <v>44480</v>
      </c>
      <c r="H198" s="35" t="n">
        <v>4937</v>
      </c>
      <c r="I198" s="28" t="str">
        <f aca="false">INDEX(Campaigns!$C$2:$C$31,MATCH(B198,Campaigns!$A$2:$A$31,0))</f>
        <v>Email</v>
      </c>
      <c r="J198" s="40" t="n">
        <f aca="false">DATE(YEAR(A198),MONTH(A198),1)</f>
        <v>46204</v>
      </c>
    </row>
    <row r="199" customFormat="false" ht="15" hidden="false" customHeight="false" outlineLevel="0" collapsed="false">
      <c r="A199" s="34" t="n">
        <v>46228</v>
      </c>
      <c r="B199" s="28" t="s">
        <v>139</v>
      </c>
      <c r="C199" s="35" t="n">
        <v>17905</v>
      </c>
      <c r="D199" s="35" t="n">
        <v>201</v>
      </c>
      <c r="E199" s="35" t="n">
        <v>13</v>
      </c>
      <c r="F199" s="35" t="n">
        <v>6</v>
      </c>
      <c r="G199" s="35" t="n">
        <v>15200</v>
      </c>
      <c r="H199" s="35" t="n">
        <v>3379</v>
      </c>
      <c r="I199" s="28" t="str">
        <f aca="false">INDEX(Campaigns!$C$2:$C$31,MATCH(B199,Campaigns!$A$2:$A$31,0))</f>
        <v>TikTok Ads</v>
      </c>
      <c r="J199" s="40" t="n">
        <f aca="false">DATE(YEAR(A199),MONTH(A199),1)</f>
        <v>46204</v>
      </c>
    </row>
    <row r="200" customFormat="false" ht="15" hidden="false" customHeight="false" outlineLevel="0" collapsed="false">
      <c r="A200" s="34" t="n">
        <v>46228</v>
      </c>
      <c r="B200" s="28" t="s">
        <v>141</v>
      </c>
      <c r="C200" s="35" t="n">
        <v>7481</v>
      </c>
      <c r="D200" s="35" t="n">
        <v>272</v>
      </c>
      <c r="E200" s="35" t="n">
        <v>13</v>
      </c>
      <c r="F200" s="35" t="n">
        <v>7</v>
      </c>
      <c r="G200" s="35" t="n">
        <v>20730</v>
      </c>
      <c r="H200" s="35" t="n">
        <v>2625</v>
      </c>
      <c r="I200" s="28" t="str">
        <f aca="false">INDEX(Campaigns!$C$2:$C$31,MATCH(B200,Campaigns!$A$2:$A$31,0))</f>
        <v>Email</v>
      </c>
      <c r="J200" s="40" t="n">
        <f aca="false">DATE(YEAR(A200),MONTH(A200),1)</f>
        <v>46204</v>
      </c>
    </row>
    <row r="201" customFormat="false" ht="15" hidden="false" customHeight="false" outlineLevel="0" collapsed="false">
      <c r="A201" s="34" t="n">
        <v>46228</v>
      </c>
      <c r="B201" s="28" t="s">
        <v>145</v>
      </c>
      <c r="C201" s="35" t="n">
        <v>10283</v>
      </c>
      <c r="D201" s="35" t="n">
        <v>505</v>
      </c>
      <c r="E201" s="35" t="n">
        <v>20</v>
      </c>
      <c r="F201" s="35" t="n">
        <v>30</v>
      </c>
      <c r="G201" s="35" t="n">
        <v>118230</v>
      </c>
      <c r="H201" s="35" t="n">
        <v>8702</v>
      </c>
      <c r="I201" s="28" t="str">
        <f aca="false">INDEX(Campaigns!$C$2:$C$31,MATCH(B201,Campaigns!$A$2:$A$31,0))</f>
        <v>Google Search Ads</v>
      </c>
      <c r="J201" s="40" t="n">
        <f aca="false">DATE(YEAR(A201),MONTH(A201),1)</f>
        <v>46204</v>
      </c>
    </row>
    <row r="202" customFormat="false" ht="15" hidden="false" customHeight="false" outlineLevel="0" collapsed="false">
      <c r="A202" s="34" t="n">
        <v>46228</v>
      </c>
      <c r="B202" s="28" t="s">
        <v>147</v>
      </c>
      <c r="C202" s="35" t="n">
        <v>32554</v>
      </c>
      <c r="D202" s="35" t="n">
        <v>450</v>
      </c>
      <c r="E202" s="35" t="n">
        <v>12</v>
      </c>
      <c r="F202" s="35" t="n">
        <v>0</v>
      </c>
      <c r="G202" s="35" t="n">
        <v>0</v>
      </c>
      <c r="H202" s="35" t="n">
        <v>7603</v>
      </c>
      <c r="I202" s="28" t="str">
        <f aca="false">INDEX(Campaigns!$C$2:$C$31,MATCH(B202,Campaigns!$A$2:$A$31,0))</f>
        <v>Facebook &amp; Instagram Ads</v>
      </c>
      <c r="J202" s="40" t="n">
        <f aca="false">DATE(YEAR(A202),MONTH(A202),1)</f>
        <v>46204</v>
      </c>
    </row>
    <row r="203" customFormat="false" ht="15" hidden="false" customHeight="false" outlineLevel="0" collapsed="false">
      <c r="A203" s="34" t="n">
        <v>46228</v>
      </c>
      <c r="B203" s="28" t="s">
        <v>154</v>
      </c>
      <c r="C203" s="35" t="n">
        <v>6541</v>
      </c>
      <c r="D203" s="35" t="n">
        <v>51</v>
      </c>
      <c r="E203" s="35" t="n">
        <v>4</v>
      </c>
      <c r="F203" s="35" t="n">
        <v>3</v>
      </c>
      <c r="G203" s="35" t="n">
        <v>9730</v>
      </c>
      <c r="H203" s="35" t="n">
        <v>4118</v>
      </c>
      <c r="I203" s="28" t="str">
        <f aca="false">INDEX(Campaigns!$C$2:$C$31,MATCH(B203,Campaigns!$A$2:$A$31,0))</f>
        <v>Influencer Partnerships</v>
      </c>
      <c r="J203" s="40" t="n">
        <f aca="false">DATE(YEAR(A203),MONTH(A203),1)</f>
        <v>46204</v>
      </c>
    </row>
    <row r="204" customFormat="false" ht="15" hidden="false" customHeight="false" outlineLevel="0" collapsed="false">
      <c r="A204" s="34" t="n">
        <v>46228</v>
      </c>
      <c r="B204" s="28" t="s">
        <v>156</v>
      </c>
      <c r="C204" s="35" t="n">
        <v>43755</v>
      </c>
      <c r="D204" s="35" t="n">
        <v>368</v>
      </c>
      <c r="E204" s="35" t="n">
        <v>52</v>
      </c>
      <c r="F204" s="35" t="n">
        <v>9</v>
      </c>
      <c r="G204" s="35" t="n">
        <v>22560</v>
      </c>
      <c r="H204" s="35" t="n">
        <v>8080</v>
      </c>
      <c r="I204" s="28" t="str">
        <f aca="false">INDEX(Campaigns!$C$2:$C$31,MATCH(B204,Campaigns!$A$2:$A$31,0))</f>
        <v>TikTok Ads</v>
      </c>
      <c r="J204" s="40" t="n">
        <f aca="false">DATE(YEAR(A204),MONTH(A204),1)</f>
        <v>46204</v>
      </c>
    </row>
    <row r="205" customFormat="false" ht="15" hidden="false" customHeight="false" outlineLevel="0" collapsed="false">
      <c r="A205" s="34" t="n">
        <v>46228</v>
      </c>
      <c r="B205" s="28" t="s">
        <v>159</v>
      </c>
      <c r="C205" s="35" t="n">
        <v>31374</v>
      </c>
      <c r="D205" s="35" t="n">
        <v>416</v>
      </c>
      <c r="E205" s="35" t="n">
        <v>59</v>
      </c>
      <c r="F205" s="35" t="n">
        <v>7</v>
      </c>
      <c r="G205" s="35" t="n">
        <v>26480</v>
      </c>
      <c r="H205" s="35" t="n">
        <v>7867</v>
      </c>
      <c r="I205" s="28" t="str">
        <f aca="false">INDEX(Campaigns!$C$2:$C$31,MATCH(B205,Campaigns!$A$2:$A$31,0))</f>
        <v>Facebook &amp; Instagram Ads</v>
      </c>
      <c r="J205" s="40" t="n">
        <f aca="false">DATE(YEAR(A205),MONTH(A205),1)</f>
        <v>46204</v>
      </c>
    </row>
    <row r="206" customFormat="false" ht="15" hidden="false" customHeight="false" outlineLevel="0" collapsed="false">
      <c r="A206" s="34" t="n">
        <v>46228</v>
      </c>
      <c r="B206" s="28" t="s">
        <v>163</v>
      </c>
      <c r="C206" s="35" t="n">
        <v>1805</v>
      </c>
      <c r="D206" s="35" t="n">
        <v>60</v>
      </c>
      <c r="E206" s="35" t="n">
        <v>1</v>
      </c>
      <c r="F206" s="35" t="n">
        <v>1</v>
      </c>
      <c r="G206" s="35" t="n">
        <v>6930</v>
      </c>
      <c r="H206" s="35" t="n">
        <v>619</v>
      </c>
      <c r="I206" s="28" t="str">
        <f aca="false">INDEX(Campaigns!$C$2:$C$31,MATCH(B206,Campaigns!$A$2:$A$31,0))</f>
        <v>Email</v>
      </c>
      <c r="J206" s="40" t="n">
        <f aca="false">DATE(YEAR(A206),MONTH(A206),1)</f>
        <v>46204</v>
      </c>
    </row>
    <row r="207" customFormat="false" ht="15" hidden="false" customHeight="false" outlineLevel="0" collapsed="false">
      <c r="A207" s="34" t="n">
        <v>46229</v>
      </c>
      <c r="B207" s="28" t="s">
        <v>105</v>
      </c>
      <c r="C207" s="35" t="n">
        <v>5124</v>
      </c>
      <c r="D207" s="35" t="n">
        <v>197</v>
      </c>
      <c r="E207" s="35" t="n">
        <v>11</v>
      </c>
      <c r="F207" s="35" t="n">
        <v>3</v>
      </c>
      <c r="G207" s="35" t="n">
        <v>10790</v>
      </c>
      <c r="H207" s="35" t="n">
        <v>4959</v>
      </c>
      <c r="I207" s="28" t="str">
        <f aca="false">INDEX(Campaigns!$C$2:$C$31,MATCH(B207,Campaigns!$A$2:$A$31,0))</f>
        <v>Google Search Ads</v>
      </c>
      <c r="J207" s="40" t="n">
        <f aca="false">DATE(YEAR(A207),MONTH(A207),1)</f>
        <v>46204</v>
      </c>
    </row>
    <row r="208" customFormat="false" ht="15" hidden="false" customHeight="false" outlineLevel="0" collapsed="false">
      <c r="A208" s="34" t="n">
        <v>46229</v>
      </c>
      <c r="B208" s="28" t="s">
        <v>108</v>
      </c>
      <c r="C208" s="35" t="n">
        <v>7343</v>
      </c>
      <c r="D208" s="35" t="n">
        <v>254</v>
      </c>
      <c r="E208" s="35" t="n">
        <v>11</v>
      </c>
      <c r="F208" s="35" t="n">
        <v>12</v>
      </c>
      <c r="G208" s="35" t="n">
        <v>37740</v>
      </c>
      <c r="H208" s="35" t="n">
        <v>2549</v>
      </c>
      <c r="I208" s="28" t="str">
        <f aca="false">INDEX(Campaigns!$C$2:$C$31,MATCH(B208,Campaigns!$A$2:$A$31,0))</f>
        <v>Email</v>
      </c>
      <c r="J208" s="40" t="n">
        <f aca="false">DATE(YEAR(A208),MONTH(A208),1)</f>
        <v>46204</v>
      </c>
    </row>
    <row r="209" customFormat="false" ht="15" hidden="false" customHeight="false" outlineLevel="0" collapsed="false">
      <c r="A209" s="34" t="n">
        <v>46229</v>
      </c>
      <c r="B209" s="28" t="s">
        <v>114</v>
      </c>
      <c r="C209" s="35" t="n">
        <v>794</v>
      </c>
      <c r="D209" s="35" t="n">
        <v>47</v>
      </c>
      <c r="E209" s="35" t="n">
        <v>3</v>
      </c>
      <c r="F209" s="35" t="n">
        <v>2</v>
      </c>
      <c r="G209" s="35" t="n">
        <v>4040</v>
      </c>
      <c r="H209" s="35" t="n">
        <v>1164</v>
      </c>
      <c r="I209" s="28" t="str">
        <f aca="false">INDEX(Campaigns!$C$2:$C$31,MATCH(B209,Campaigns!$A$2:$A$31,0))</f>
        <v>WhatsApp Broadcast</v>
      </c>
      <c r="J209" s="40" t="n">
        <f aca="false">DATE(YEAR(A209),MONTH(A209),1)</f>
        <v>46204</v>
      </c>
    </row>
    <row r="210" customFormat="false" ht="15" hidden="false" customHeight="false" outlineLevel="0" collapsed="false">
      <c r="A210" s="34" t="n">
        <v>46229</v>
      </c>
      <c r="B210" s="28" t="s">
        <v>116</v>
      </c>
      <c r="C210" s="35" t="n">
        <v>22676</v>
      </c>
      <c r="D210" s="35" t="n">
        <v>246</v>
      </c>
      <c r="E210" s="35" t="n">
        <v>9</v>
      </c>
      <c r="F210" s="35" t="n">
        <v>3</v>
      </c>
      <c r="G210" s="35" t="n">
        <v>8730</v>
      </c>
      <c r="H210" s="35" t="n">
        <v>5898</v>
      </c>
      <c r="I210" s="28" t="str">
        <f aca="false">INDEX(Campaigns!$C$2:$C$31,MATCH(B210,Campaigns!$A$2:$A$31,0))</f>
        <v>Facebook &amp; Instagram Ads</v>
      </c>
      <c r="J210" s="40" t="n">
        <f aca="false">DATE(YEAR(A210),MONTH(A210),1)</f>
        <v>46204</v>
      </c>
    </row>
    <row r="211" customFormat="false" ht="15" hidden="false" customHeight="false" outlineLevel="0" collapsed="false">
      <c r="A211" s="34" t="n">
        <v>46229</v>
      </c>
      <c r="B211" s="28" t="s">
        <v>120</v>
      </c>
      <c r="C211" s="35" t="n">
        <v>86137</v>
      </c>
      <c r="D211" s="35" t="n">
        <v>625</v>
      </c>
      <c r="E211" s="35" t="n">
        <v>24</v>
      </c>
      <c r="F211" s="35" t="n">
        <v>6</v>
      </c>
      <c r="G211" s="35" t="n">
        <v>17060</v>
      </c>
      <c r="H211" s="35" t="n">
        <v>16346</v>
      </c>
      <c r="I211" s="28" t="str">
        <f aca="false">INDEX(Campaigns!$C$2:$C$31,MATCH(B211,Campaigns!$A$2:$A$31,0))</f>
        <v>TikTok Ads</v>
      </c>
      <c r="J211" s="40" t="n">
        <f aca="false">DATE(YEAR(A211),MONTH(A211),1)</f>
        <v>46204</v>
      </c>
    </row>
    <row r="212" customFormat="false" ht="15" hidden="false" customHeight="false" outlineLevel="0" collapsed="false">
      <c r="A212" s="34" t="n">
        <v>46229</v>
      </c>
      <c r="B212" s="28" t="s">
        <v>122</v>
      </c>
      <c r="C212" s="35" t="n">
        <v>155976</v>
      </c>
      <c r="D212" s="35" t="n">
        <v>1230</v>
      </c>
      <c r="E212" s="35" t="n">
        <v>56</v>
      </c>
      <c r="F212" s="35" t="n">
        <v>13</v>
      </c>
      <c r="G212" s="35" t="n">
        <v>33560</v>
      </c>
      <c r="H212" s="35" t="n">
        <v>27277</v>
      </c>
      <c r="I212" s="28" t="str">
        <f aca="false">INDEX(Campaigns!$C$2:$C$31,MATCH(B212,Campaigns!$A$2:$A$31,0))</f>
        <v>TikTok Ads</v>
      </c>
      <c r="J212" s="40" t="n">
        <f aca="false">DATE(YEAR(A212),MONTH(A212),1)</f>
        <v>46204</v>
      </c>
    </row>
    <row r="213" customFormat="false" ht="15" hidden="false" customHeight="false" outlineLevel="0" collapsed="false">
      <c r="A213" s="34" t="n">
        <v>46229</v>
      </c>
      <c r="B213" s="28" t="s">
        <v>124</v>
      </c>
      <c r="C213" s="35" t="n">
        <v>7919</v>
      </c>
      <c r="D213" s="35" t="n">
        <v>170</v>
      </c>
      <c r="E213" s="35" t="n">
        <v>10</v>
      </c>
      <c r="F213" s="35" t="n">
        <v>2</v>
      </c>
      <c r="G213" s="35" t="n">
        <v>4920</v>
      </c>
      <c r="H213" s="35" t="n">
        <v>2862</v>
      </c>
      <c r="I213" s="28" t="str">
        <f aca="false">INDEX(Campaigns!$C$2:$C$31,MATCH(B213,Campaigns!$A$2:$A$31,0))</f>
        <v>Email</v>
      </c>
      <c r="J213" s="40" t="n">
        <f aca="false">DATE(YEAR(A213),MONTH(A213),1)</f>
        <v>46204</v>
      </c>
    </row>
    <row r="214" customFormat="false" ht="15" hidden="false" customHeight="false" outlineLevel="0" collapsed="false">
      <c r="A214" s="34" t="n">
        <v>46229</v>
      </c>
      <c r="B214" s="28" t="s">
        <v>126</v>
      </c>
      <c r="C214" s="35" t="n">
        <v>18932</v>
      </c>
      <c r="D214" s="35" t="n">
        <v>115</v>
      </c>
      <c r="E214" s="35" t="n">
        <v>6</v>
      </c>
      <c r="F214" s="35" t="n">
        <v>0</v>
      </c>
      <c r="G214" s="35" t="n">
        <v>0</v>
      </c>
      <c r="H214" s="35" t="n">
        <v>3417</v>
      </c>
      <c r="I214" s="28" t="str">
        <f aca="false">INDEX(Campaigns!$C$2:$C$31,MATCH(B214,Campaigns!$A$2:$A$31,0))</f>
        <v>TikTok Ads</v>
      </c>
      <c r="J214" s="40" t="n">
        <f aca="false">DATE(YEAR(A214),MONTH(A214),1)</f>
        <v>46204</v>
      </c>
    </row>
    <row r="215" customFormat="false" ht="15" hidden="false" customHeight="false" outlineLevel="0" collapsed="false">
      <c r="A215" s="34" t="n">
        <v>46229</v>
      </c>
      <c r="B215" s="28" t="s">
        <v>128</v>
      </c>
      <c r="C215" s="35" t="n">
        <v>26900</v>
      </c>
      <c r="D215" s="35" t="n">
        <v>1614</v>
      </c>
      <c r="E215" s="35" t="n">
        <v>60</v>
      </c>
      <c r="F215" s="35" t="n">
        <v>108</v>
      </c>
      <c r="G215" s="35" t="n">
        <v>411260</v>
      </c>
      <c r="H215" s="35" t="n">
        <v>25961</v>
      </c>
      <c r="I215" s="28" t="str">
        <f aca="false">INDEX(Campaigns!$C$2:$C$31,MATCH(B215,Campaigns!$A$2:$A$31,0))</f>
        <v>Google Search Ads</v>
      </c>
      <c r="J215" s="40" t="n">
        <f aca="false">DATE(YEAR(A215),MONTH(A215),1)</f>
        <v>46204</v>
      </c>
    </row>
    <row r="216" customFormat="false" ht="15" hidden="false" customHeight="false" outlineLevel="0" collapsed="false">
      <c r="A216" s="34" t="n">
        <v>46229</v>
      </c>
      <c r="B216" s="28" t="s">
        <v>134</v>
      </c>
      <c r="C216" s="35" t="n">
        <v>2166</v>
      </c>
      <c r="D216" s="35" t="n">
        <v>145</v>
      </c>
      <c r="E216" s="35" t="n">
        <v>5</v>
      </c>
      <c r="F216" s="35" t="n">
        <v>14</v>
      </c>
      <c r="G216" s="35" t="n">
        <v>40750</v>
      </c>
      <c r="H216" s="35" t="n">
        <v>3168</v>
      </c>
      <c r="I216" s="28" t="str">
        <f aca="false">INDEX(Campaigns!$C$2:$C$31,MATCH(B216,Campaigns!$A$2:$A$31,0))</f>
        <v>WhatsApp Broadcast</v>
      </c>
      <c r="J216" s="40" t="n">
        <f aca="false">DATE(YEAR(A216),MONTH(A216),1)</f>
        <v>46204</v>
      </c>
    </row>
    <row r="217" customFormat="false" ht="15" hidden="false" customHeight="false" outlineLevel="0" collapsed="false">
      <c r="A217" s="34" t="n">
        <v>46229</v>
      </c>
      <c r="B217" s="28" t="s">
        <v>136</v>
      </c>
      <c r="C217" s="35" t="n">
        <v>12638</v>
      </c>
      <c r="D217" s="35" t="n">
        <v>397</v>
      </c>
      <c r="E217" s="35" t="n">
        <v>13</v>
      </c>
      <c r="F217" s="35" t="n">
        <v>17</v>
      </c>
      <c r="G217" s="35" t="n">
        <v>50120</v>
      </c>
      <c r="H217" s="35" t="n">
        <v>4085</v>
      </c>
      <c r="I217" s="28" t="str">
        <f aca="false">INDEX(Campaigns!$C$2:$C$31,MATCH(B217,Campaigns!$A$2:$A$31,0))</f>
        <v>Email</v>
      </c>
      <c r="J217" s="40" t="n">
        <f aca="false">DATE(YEAR(A217),MONTH(A217),1)</f>
        <v>46204</v>
      </c>
    </row>
    <row r="218" customFormat="false" ht="15" hidden="false" customHeight="false" outlineLevel="0" collapsed="false">
      <c r="A218" s="34" t="n">
        <v>46229</v>
      </c>
      <c r="B218" s="28" t="s">
        <v>139</v>
      </c>
      <c r="C218" s="35" t="n">
        <v>19729</v>
      </c>
      <c r="D218" s="35" t="n">
        <v>197</v>
      </c>
      <c r="E218" s="35" t="n">
        <v>13</v>
      </c>
      <c r="F218" s="35" t="n">
        <v>1</v>
      </c>
      <c r="G218" s="35" t="n">
        <v>2400</v>
      </c>
      <c r="H218" s="35" t="n">
        <v>3409</v>
      </c>
      <c r="I218" s="28" t="str">
        <f aca="false">INDEX(Campaigns!$C$2:$C$31,MATCH(B218,Campaigns!$A$2:$A$31,0))</f>
        <v>TikTok Ads</v>
      </c>
      <c r="J218" s="40" t="n">
        <f aca="false">DATE(YEAR(A218),MONTH(A218),1)</f>
        <v>46204</v>
      </c>
    </row>
    <row r="219" customFormat="false" ht="15" hidden="false" customHeight="false" outlineLevel="0" collapsed="false">
      <c r="A219" s="34" t="n">
        <v>46229</v>
      </c>
      <c r="B219" s="28" t="s">
        <v>141</v>
      </c>
      <c r="C219" s="35" t="n">
        <v>9095</v>
      </c>
      <c r="D219" s="35" t="n">
        <v>333</v>
      </c>
      <c r="E219" s="35" t="n">
        <v>8</v>
      </c>
      <c r="F219" s="35" t="n">
        <v>15</v>
      </c>
      <c r="G219" s="35" t="n">
        <v>47610</v>
      </c>
      <c r="H219" s="35" t="n">
        <v>3046</v>
      </c>
      <c r="I219" s="28" t="str">
        <f aca="false">INDEX(Campaigns!$C$2:$C$31,MATCH(B219,Campaigns!$A$2:$A$31,0))</f>
        <v>Email</v>
      </c>
      <c r="J219" s="40" t="n">
        <f aca="false">DATE(YEAR(A219),MONTH(A219),1)</f>
        <v>46204</v>
      </c>
    </row>
    <row r="220" customFormat="false" ht="15" hidden="false" customHeight="false" outlineLevel="0" collapsed="false">
      <c r="A220" s="34" t="n">
        <v>46229</v>
      </c>
      <c r="B220" s="28" t="s">
        <v>145</v>
      </c>
      <c r="C220" s="35" t="n">
        <v>7755</v>
      </c>
      <c r="D220" s="35" t="n">
        <v>413</v>
      </c>
      <c r="E220" s="35" t="n">
        <v>13</v>
      </c>
      <c r="F220" s="35" t="n">
        <v>30</v>
      </c>
      <c r="G220" s="35" t="n">
        <v>116810</v>
      </c>
      <c r="H220" s="35" t="n">
        <v>7704</v>
      </c>
      <c r="I220" s="28" t="str">
        <f aca="false">INDEX(Campaigns!$C$2:$C$31,MATCH(B220,Campaigns!$A$2:$A$31,0))</f>
        <v>Google Search Ads</v>
      </c>
      <c r="J220" s="40" t="n">
        <f aca="false">DATE(YEAR(A220),MONTH(A220),1)</f>
        <v>46204</v>
      </c>
    </row>
    <row r="221" customFormat="false" ht="15" hidden="false" customHeight="false" outlineLevel="0" collapsed="false">
      <c r="A221" s="34" t="n">
        <v>46229</v>
      </c>
      <c r="B221" s="28" t="s">
        <v>147</v>
      </c>
      <c r="C221" s="35" t="n">
        <v>23362</v>
      </c>
      <c r="D221" s="35" t="n">
        <v>285</v>
      </c>
      <c r="E221" s="35" t="n">
        <v>2</v>
      </c>
      <c r="F221" s="35" t="n">
        <v>0</v>
      </c>
      <c r="G221" s="35" t="n">
        <v>0</v>
      </c>
      <c r="H221" s="35" t="n">
        <v>6383</v>
      </c>
      <c r="I221" s="28" t="str">
        <f aca="false">INDEX(Campaigns!$C$2:$C$31,MATCH(B221,Campaigns!$A$2:$A$31,0))</f>
        <v>Facebook &amp; Instagram Ads</v>
      </c>
      <c r="J221" s="40" t="n">
        <f aca="false">DATE(YEAR(A221),MONTH(A221),1)</f>
        <v>46204</v>
      </c>
    </row>
    <row r="222" customFormat="false" ht="15" hidden="false" customHeight="false" outlineLevel="0" collapsed="false">
      <c r="A222" s="34" t="n">
        <v>46229</v>
      </c>
      <c r="B222" s="28" t="s">
        <v>154</v>
      </c>
      <c r="C222" s="35" t="n">
        <v>6749</v>
      </c>
      <c r="D222" s="35" t="n">
        <v>61</v>
      </c>
      <c r="E222" s="35" t="n">
        <v>2</v>
      </c>
      <c r="F222" s="35" t="n">
        <v>0</v>
      </c>
      <c r="G222" s="35" t="n">
        <v>0</v>
      </c>
      <c r="H222" s="35" t="n">
        <v>4087</v>
      </c>
      <c r="I222" s="28" t="str">
        <f aca="false">INDEX(Campaigns!$C$2:$C$31,MATCH(B222,Campaigns!$A$2:$A$31,0))</f>
        <v>Influencer Partnerships</v>
      </c>
      <c r="J222" s="40" t="n">
        <f aca="false">DATE(YEAR(A222),MONTH(A222),1)</f>
        <v>46204</v>
      </c>
    </row>
    <row r="223" customFormat="false" ht="15" hidden="false" customHeight="false" outlineLevel="0" collapsed="false">
      <c r="A223" s="34" t="n">
        <v>46229</v>
      </c>
      <c r="B223" s="28" t="s">
        <v>156</v>
      </c>
      <c r="C223" s="35" t="n">
        <v>55031</v>
      </c>
      <c r="D223" s="35" t="n">
        <v>502</v>
      </c>
      <c r="E223" s="35" t="n">
        <v>81</v>
      </c>
      <c r="F223" s="35" t="n">
        <v>17</v>
      </c>
      <c r="G223" s="35" t="n">
        <v>44450</v>
      </c>
      <c r="H223" s="35" t="n">
        <v>9069</v>
      </c>
      <c r="I223" s="28" t="str">
        <f aca="false">INDEX(Campaigns!$C$2:$C$31,MATCH(B223,Campaigns!$A$2:$A$31,0))</f>
        <v>TikTok Ads</v>
      </c>
      <c r="J223" s="40" t="n">
        <f aca="false">DATE(YEAR(A223),MONTH(A223),1)</f>
        <v>46204</v>
      </c>
    </row>
    <row r="224" customFormat="false" ht="15" hidden="false" customHeight="false" outlineLevel="0" collapsed="false">
      <c r="A224" s="34" t="n">
        <v>46229</v>
      </c>
      <c r="B224" s="28" t="s">
        <v>159</v>
      </c>
      <c r="C224" s="35" t="n">
        <v>24995</v>
      </c>
      <c r="D224" s="35" t="n">
        <v>393</v>
      </c>
      <c r="E224" s="35" t="n">
        <v>60</v>
      </c>
      <c r="F224" s="35" t="n">
        <v>7</v>
      </c>
      <c r="G224" s="35" t="n">
        <v>20920</v>
      </c>
      <c r="H224" s="35" t="n">
        <v>6578</v>
      </c>
      <c r="I224" s="28" t="str">
        <f aca="false">INDEX(Campaigns!$C$2:$C$31,MATCH(B224,Campaigns!$A$2:$A$31,0))</f>
        <v>Facebook &amp; Instagram Ads</v>
      </c>
      <c r="J224" s="40" t="n">
        <f aca="false">DATE(YEAR(A224),MONTH(A224),1)</f>
        <v>46204</v>
      </c>
    </row>
    <row r="225" customFormat="false" ht="15" hidden="false" customHeight="false" outlineLevel="0" collapsed="false">
      <c r="A225" s="34" t="n">
        <v>46229</v>
      </c>
      <c r="B225" s="28" t="s">
        <v>163</v>
      </c>
      <c r="C225" s="35" t="n">
        <v>1840</v>
      </c>
      <c r="D225" s="35" t="n">
        <v>57</v>
      </c>
      <c r="E225" s="35" t="n">
        <v>1</v>
      </c>
      <c r="F225" s="35" t="n">
        <v>1</v>
      </c>
      <c r="G225" s="35" t="n">
        <v>2920</v>
      </c>
      <c r="H225" s="35" t="n">
        <v>593</v>
      </c>
      <c r="I225" s="28" t="str">
        <f aca="false">INDEX(Campaigns!$C$2:$C$31,MATCH(B225,Campaigns!$A$2:$A$31,0))</f>
        <v>Email</v>
      </c>
      <c r="J225" s="40" t="n">
        <f aca="false">DATE(YEAR(A225),MONTH(A225),1)</f>
        <v>46204</v>
      </c>
    </row>
    <row r="226" customFormat="false" ht="15" hidden="false" customHeight="false" outlineLevel="0" collapsed="false">
      <c r="A226" s="34" t="n">
        <v>46230</v>
      </c>
      <c r="B226" s="28" t="s">
        <v>105</v>
      </c>
      <c r="C226" s="35" t="n">
        <v>5218</v>
      </c>
      <c r="D226" s="35" t="n">
        <v>187</v>
      </c>
      <c r="E226" s="35" t="n">
        <v>9</v>
      </c>
      <c r="F226" s="35" t="n">
        <v>7</v>
      </c>
      <c r="G226" s="35" t="n">
        <v>25630</v>
      </c>
      <c r="H226" s="35" t="n">
        <v>4444</v>
      </c>
      <c r="I226" s="28" t="str">
        <f aca="false">INDEX(Campaigns!$C$2:$C$31,MATCH(B226,Campaigns!$A$2:$A$31,0))</f>
        <v>Google Search Ads</v>
      </c>
      <c r="J226" s="40" t="n">
        <f aca="false">DATE(YEAR(A226),MONTH(A226),1)</f>
        <v>46204</v>
      </c>
    </row>
    <row r="227" customFormat="false" ht="15" hidden="false" customHeight="false" outlineLevel="0" collapsed="false">
      <c r="A227" s="34" t="n">
        <v>46230</v>
      </c>
      <c r="B227" s="28" t="s">
        <v>108</v>
      </c>
      <c r="C227" s="35" t="n">
        <v>6110</v>
      </c>
      <c r="D227" s="35" t="n">
        <v>186</v>
      </c>
      <c r="E227" s="35" t="n">
        <v>9</v>
      </c>
      <c r="F227" s="35" t="n">
        <v>6</v>
      </c>
      <c r="G227" s="35" t="n">
        <v>21470</v>
      </c>
      <c r="H227" s="35" t="n">
        <v>2248</v>
      </c>
      <c r="I227" s="28" t="str">
        <f aca="false">INDEX(Campaigns!$C$2:$C$31,MATCH(B227,Campaigns!$A$2:$A$31,0))</f>
        <v>Email</v>
      </c>
      <c r="J227" s="40" t="n">
        <f aca="false">DATE(YEAR(A227),MONTH(A227),1)</f>
        <v>46204</v>
      </c>
    </row>
    <row r="228" customFormat="false" ht="15" hidden="false" customHeight="false" outlineLevel="0" collapsed="false">
      <c r="A228" s="34" t="n">
        <v>46230</v>
      </c>
      <c r="B228" s="28" t="s">
        <v>112</v>
      </c>
      <c r="C228" s="35" t="n">
        <v>1098</v>
      </c>
      <c r="D228" s="35" t="n">
        <v>60</v>
      </c>
      <c r="E228" s="35" t="n">
        <v>0</v>
      </c>
      <c r="F228" s="35" t="n">
        <v>1</v>
      </c>
      <c r="G228" s="35" t="n">
        <v>2470</v>
      </c>
      <c r="H228" s="35" t="n">
        <v>1609</v>
      </c>
      <c r="I228" s="28" t="str">
        <f aca="false">INDEX(Campaigns!$C$2:$C$31,MATCH(B228,Campaigns!$A$2:$A$31,0))</f>
        <v>WhatsApp Broadcast</v>
      </c>
      <c r="J228" s="40" t="n">
        <f aca="false">DATE(YEAR(A228),MONTH(A228),1)</f>
        <v>46204</v>
      </c>
    </row>
    <row r="229" customFormat="false" ht="15" hidden="false" customHeight="false" outlineLevel="0" collapsed="false">
      <c r="A229" s="34" t="n">
        <v>46230</v>
      </c>
      <c r="B229" s="28" t="s">
        <v>114</v>
      </c>
      <c r="C229" s="35" t="n">
        <v>776</v>
      </c>
      <c r="D229" s="35" t="n">
        <v>39</v>
      </c>
      <c r="E229" s="35" t="n">
        <v>3</v>
      </c>
      <c r="F229" s="35" t="n">
        <v>6</v>
      </c>
      <c r="G229" s="35" t="n">
        <v>22850</v>
      </c>
      <c r="H229" s="35" t="n">
        <v>1020</v>
      </c>
      <c r="I229" s="28" t="str">
        <f aca="false">INDEX(Campaigns!$C$2:$C$31,MATCH(B229,Campaigns!$A$2:$A$31,0))</f>
        <v>WhatsApp Broadcast</v>
      </c>
      <c r="J229" s="40" t="n">
        <f aca="false">DATE(YEAR(A229),MONTH(A229),1)</f>
        <v>46204</v>
      </c>
    </row>
    <row r="230" customFormat="false" ht="15" hidden="false" customHeight="false" outlineLevel="0" collapsed="false">
      <c r="A230" s="34" t="n">
        <v>46230</v>
      </c>
      <c r="B230" s="28" t="s">
        <v>116</v>
      </c>
      <c r="C230" s="35" t="n">
        <v>19209</v>
      </c>
      <c r="D230" s="35" t="n">
        <v>242</v>
      </c>
      <c r="E230" s="35" t="n">
        <v>8</v>
      </c>
      <c r="F230" s="35" t="n">
        <v>6</v>
      </c>
      <c r="G230" s="35" t="n">
        <v>17700</v>
      </c>
      <c r="H230" s="35" t="n">
        <v>5089</v>
      </c>
      <c r="I230" s="28" t="str">
        <f aca="false">INDEX(Campaigns!$C$2:$C$31,MATCH(B230,Campaigns!$A$2:$A$31,0))</f>
        <v>Facebook &amp; Instagram Ads</v>
      </c>
      <c r="J230" s="40" t="n">
        <f aca="false">DATE(YEAR(A230),MONTH(A230),1)</f>
        <v>46204</v>
      </c>
    </row>
    <row r="231" customFormat="false" ht="15" hidden="false" customHeight="false" outlineLevel="0" collapsed="false">
      <c r="A231" s="34" t="n">
        <v>46230</v>
      </c>
      <c r="B231" s="28" t="s">
        <v>120</v>
      </c>
      <c r="C231" s="35" t="n">
        <v>69277</v>
      </c>
      <c r="D231" s="35" t="n">
        <v>538</v>
      </c>
      <c r="E231" s="35" t="n">
        <v>31</v>
      </c>
      <c r="F231" s="35" t="n">
        <v>10</v>
      </c>
      <c r="G231" s="35" t="n">
        <v>26950</v>
      </c>
      <c r="H231" s="35" t="n">
        <v>12113</v>
      </c>
      <c r="I231" s="28" t="str">
        <f aca="false">INDEX(Campaigns!$C$2:$C$31,MATCH(B231,Campaigns!$A$2:$A$31,0))</f>
        <v>TikTok Ads</v>
      </c>
      <c r="J231" s="40" t="n">
        <f aca="false">DATE(YEAR(A231),MONTH(A231),1)</f>
        <v>46204</v>
      </c>
    </row>
    <row r="232" customFormat="false" ht="15" hidden="false" customHeight="false" outlineLevel="0" collapsed="false">
      <c r="A232" s="34" t="n">
        <v>46230</v>
      </c>
      <c r="B232" s="28" t="s">
        <v>122</v>
      </c>
      <c r="C232" s="35" t="n">
        <v>143410</v>
      </c>
      <c r="D232" s="35" t="n">
        <v>1148</v>
      </c>
      <c r="E232" s="35" t="n">
        <v>48</v>
      </c>
      <c r="F232" s="35" t="n">
        <v>8</v>
      </c>
      <c r="G232" s="35" t="n">
        <v>19620</v>
      </c>
      <c r="H232" s="35" t="n">
        <v>25363</v>
      </c>
      <c r="I232" s="28" t="str">
        <f aca="false">INDEX(Campaigns!$C$2:$C$31,MATCH(B232,Campaigns!$A$2:$A$31,0))</f>
        <v>TikTok Ads</v>
      </c>
      <c r="J232" s="40" t="n">
        <f aca="false">DATE(YEAR(A232),MONTH(A232),1)</f>
        <v>46204</v>
      </c>
    </row>
    <row r="233" customFormat="false" ht="15" hidden="false" customHeight="false" outlineLevel="0" collapsed="false">
      <c r="A233" s="34" t="n">
        <v>46230</v>
      </c>
      <c r="B233" s="28" t="s">
        <v>124</v>
      </c>
      <c r="C233" s="35" t="n">
        <v>7603</v>
      </c>
      <c r="D233" s="35" t="n">
        <v>169</v>
      </c>
      <c r="E233" s="35" t="n">
        <v>5</v>
      </c>
      <c r="F233" s="35" t="n">
        <v>4</v>
      </c>
      <c r="G233" s="35" t="n">
        <v>11300</v>
      </c>
      <c r="H233" s="35" t="n">
        <v>2901</v>
      </c>
      <c r="I233" s="28" t="str">
        <f aca="false">INDEX(Campaigns!$C$2:$C$31,MATCH(B233,Campaigns!$A$2:$A$31,0))</f>
        <v>Email</v>
      </c>
      <c r="J233" s="40" t="n">
        <f aca="false">DATE(YEAR(A233),MONTH(A233),1)</f>
        <v>46204</v>
      </c>
    </row>
    <row r="234" customFormat="false" ht="15" hidden="false" customHeight="false" outlineLevel="0" collapsed="false">
      <c r="A234" s="34" t="n">
        <v>46230</v>
      </c>
      <c r="B234" s="28" t="s">
        <v>126</v>
      </c>
      <c r="C234" s="35" t="n">
        <v>17857</v>
      </c>
      <c r="D234" s="35" t="n">
        <v>112</v>
      </c>
      <c r="E234" s="35" t="n">
        <v>2</v>
      </c>
      <c r="F234" s="35" t="n">
        <v>1</v>
      </c>
      <c r="G234" s="35" t="n">
        <v>2540</v>
      </c>
      <c r="H234" s="35" t="n">
        <v>3019</v>
      </c>
      <c r="I234" s="28" t="str">
        <f aca="false">INDEX(Campaigns!$C$2:$C$31,MATCH(B234,Campaigns!$A$2:$A$31,0))</f>
        <v>TikTok Ads</v>
      </c>
      <c r="J234" s="40" t="n">
        <f aca="false">DATE(YEAR(A234),MONTH(A234),1)</f>
        <v>46204</v>
      </c>
    </row>
    <row r="235" customFormat="false" ht="15" hidden="false" customHeight="false" outlineLevel="0" collapsed="false">
      <c r="A235" s="34" t="n">
        <v>46230</v>
      </c>
      <c r="B235" s="28" t="s">
        <v>128</v>
      </c>
      <c r="C235" s="35" t="n">
        <v>28718</v>
      </c>
      <c r="D235" s="35" t="n">
        <v>1692</v>
      </c>
      <c r="E235" s="35" t="n">
        <v>67</v>
      </c>
      <c r="F235" s="35" t="n">
        <v>96</v>
      </c>
      <c r="G235" s="35" t="n">
        <v>368490</v>
      </c>
      <c r="H235" s="35" t="n">
        <v>24085</v>
      </c>
      <c r="I235" s="28" t="str">
        <f aca="false">INDEX(Campaigns!$C$2:$C$31,MATCH(B235,Campaigns!$A$2:$A$31,0))</f>
        <v>Google Search Ads</v>
      </c>
      <c r="J235" s="40" t="n">
        <f aca="false">DATE(YEAR(A235),MONTH(A235),1)</f>
        <v>46204</v>
      </c>
    </row>
    <row r="236" customFormat="false" ht="15" hidden="false" customHeight="false" outlineLevel="0" collapsed="false">
      <c r="A236" s="34" t="n">
        <v>46230</v>
      </c>
      <c r="B236" s="28" t="s">
        <v>134</v>
      </c>
      <c r="C236" s="35" t="n">
        <v>2207</v>
      </c>
      <c r="D236" s="35" t="n">
        <v>140</v>
      </c>
      <c r="E236" s="35" t="n">
        <v>8</v>
      </c>
      <c r="F236" s="35" t="n">
        <v>5</v>
      </c>
      <c r="G236" s="35" t="n">
        <v>14320</v>
      </c>
      <c r="H236" s="35" t="n">
        <v>2960</v>
      </c>
      <c r="I236" s="28" t="str">
        <f aca="false">INDEX(Campaigns!$C$2:$C$31,MATCH(B236,Campaigns!$A$2:$A$31,0))</f>
        <v>WhatsApp Broadcast</v>
      </c>
      <c r="J236" s="40" t="n">
        <f aca="false">DATE(YEAR(A236),MONTH(A236),1)</f>
        <v>46204</v>
      </c>
    </row>
    <row r="237" customFormat="false" ht="15" hidden="false" customHeight="false" outlineLevel="0" collapsed="false">
      <c r="A237" s="34" t="n">
        <v>46230</v>
      </c>
      <c r="B237" s="28" t="s">
        <v>136</v>
      </c>
      <c r="C237" s="35" t="n">
        <v>11828</v>
      </c>
      <c r="D237" s="35" t="n">
        <v>350</v>
      </c>
      <c r="E237" s="35" t="n">
        <v>11</v>
      </c>
      <c r="F237" s="35" t="n">
        <v>18</v>
      </c>
      <c r="G237" s="35" t="n">
        <v>56820</v>
      </c>
      <c r="H237" s="35" t="n">
        <v>3866</v>
      </c>
      <c r="I237" s="28" t="str">
        <f aca="false">INDEX(Campaigns!$C$2:$C$31,MATCH(B237,Campaigns!$A$2:$A$31,0))</f>
        <v>Email</v>
      </c>
      <c r="J237" s="40" t="n">
        <f aca="false">DATE(YEAR(A237),MONTH(A237),1)</f>
        <v>46204</v>
      </c>
    </row>
    <row r="238" customFormat="false" ht="15" hidden="false" customHeight="false" outlineLevel="0" collapsed="false">
      <c r="A238" s="34" t="n">
        <v>46230</v>
      </c>
      <c r="B238" s="28" t="s">
        <v>139</v>
      </c>
      <c r="C238" s="35" t="n">
        <v>18135</v>
      </c>
      <c r="D238" s="35" t="n">
        <v>171</v>
      </c>
      <c r="E238" s="35" t="n">
        <v>5</v>
      </c>
      <c r="F238" s="35" t="n">
        <v>1</v>
      </c>
      <c r="G238" s="35" t="n">
        <v>2400</v>
      </c>
      <c r="H238" s="35" t="n">
        <v>3306</v>
      </c>
      <c r="I238" s="28" t="str">
        <f aca="false">INDEX(Campaigns!$C$2:$C$31,MATCH(B238,Campaigns!$A$2:$A$31,0))</f>
        <v>TikTok Ads</v>
      </c>
      <c r="J238" s="40" t="n">
        <f aca="false">DATE(YEAR(A238),MONTH(A238),1)</f>
        <v>46204</v>
      </c>
    </row>
    <row r="239" customFormat="false" ht="15" hidden="false" customHeight="false" outlineLevel="0" collapsed="false">
      <c r="A239" s="34" t="n">
        <v>46230</v>
      </c>
      <c r="B239" s="28" t="s">
        <v>145</v>
      </c>
      <c r="C239" s="35" t="n">
        <v>6846</v>
      </c>
      <c r="D239" s="35" t="n">
        <v>340</v>
      </c>
      <c r="E239" s="35" t="n">
        <v>12</v>
      </c>
      <c r="F239" s="35" t="n">
        <v>17</v>
      </c>
      <c r="G239" s="35" t="n">
        <v>63990</v>
      </c>
      <c r="H239" s="35" t="n">
        <v>6264</v>
      </c>
      <c r="I239" s="28" t="str">
        <f aca="false">INDEX(Campaigns!$C$2:$C$31,MATCH(B239,Campaigns!$A$2:$A$31,0))</f>
        <v>Google Search Ads</v>
      </c>
      <c r="J239" s="40" t="n">
        <f aca="false">DATE(YEAR(A239),MONTH(A239),1)</f>
        <v>46204</v>
      </c>
    </row>
    <row r="240" customFormat="false" ht="15" hidden="false" customHeight="false" outlineLevel="0" collapsed="false">
      <c r="A240" s="34" t="n">
        <v>46230</v>
      </c>
      <c r="B240" s="28" t="s">
        <v>147</v>
      </c>
      <c r="C240" s="35" t="n">
        <v>25856</v>
      </c>
      <c r="D240" s="35" t="n">
        <v>354</v>
      </c>
      <c r="E240" s="35" t="n">
        <v>7</v>
      </c>
      <c r="F240" s="35" t="n">
        <v>0</v>
      </c>
      <c r="G240" s="35" t="n">
        <v>0</v>
      </c>
      <c r="H240" s="35" t="n">
        <v>6632</v>
      </c>
      <c r="I240" s="28" t="str">
        <f aca="false">INDEX(Campaigns!$C$2:$C$31,MATCH(B240,Campaigns!$A$2:$A$31,0))</f>
        <v>Facebook &amp; Instagram Ads</v>
      </c>
      <c r="J240" s="40" t="n">
        <f aca="false">DATE(YEAR(A240),MONTH(A240),1)</f>
        <v>46204</v>
      </c>
    </row>
    <row r="241" customFormat="false" ht="15" hidden="false" customHeight="false" outlineLevel="0" collapsed="false">
      <c r="A241" s="34" t="n">
        <v>46230</v>
      </c>
      <c r="B241" s="28" t="s">
        <v>154</v>
      </c>
      <c r="C241" s="35" t="n">
        <v>4778</v>
      </c>
      <c r="D241" s="35" t="n">
        <v>52</v>
      </c>
      <c r="E241" s="35" t="n">
        <v>1</v>
      </c>
      <c r="F241" s="35" t="n">
        <v>0</v>
      </c>
      <c r="G241" s="35" t="n">
        <v>0</v>
      </c>
      <c r="H241" s="35" t="n">
        <v>3164</v>
      </c>
      <c r="I241" s="28" t="str">
        <f aca="false">INDEX(Campaigns!$C$2:$C$31,MATCH(B241,Campaigns!$A$2:$A$31,0))</f>
        <v>Influencer Partnerships</v>
      </c>
      <c r="J241" s="40" t="n">
        <f aca="false">DATE(YEAR(A241),MONTH(A241),1)</f>
        <v>46204</v>
      </c>
    </row>
    <row r="242" customFormat="false" ht="15" hidden="false" customHeight="false" outlineLevel="0" collapsed="false">
      <c r="A242" s="34" t="n">
        <v>46230</v>
      </c>
      <c r="B242" s="28" t="s">
        <v>156</v>
      </c>
      <c r="C242" s="35" t="n">
        <v>34022</v>
      </c>
      <c r="D242" s="35" t="n">
        <v>285</v>
      </c>
      <c r="E242" s="35" t="n">
        <v>44</v>
      </c>
      <c r="F242" s="35" t="n">
        <v>2</v>
      </c>
      <c r="G242" s="35" t="n">
        <v>5150</v>
      </c>
      <c r="H242" s="35" t="n">
        <v>6582</v>
      </c>
      <c r="I242" s="28" t="str">
        <f aca="false">INDEX(Campaigns!$C$2:$C$31,MATCH(B242,Campaigns!$A$2:$A$31,0))</f>
        <v>TikTok Ads</v>
      </c>
      <c r="J242" s="40" t="n">
        <f aca="false">DATE(YEAR(A242),MONTH(A242),1)</f>
        <v>46204</v>
      </c>
    </row>
    <row r="243" customFormat="false" ht="15" hidden="false" customHeight="false" outlineLevel="0" collapsed="false">
      <c r="A243" s="34" t="n">
        <v>46230</v>
      </c>
      <c r="B243" s="28" t="s">
        <v>159</v>
      </c>
      <c r="C243" s="35" t="n">
        <v>24188</v>
      </c>
      <c r="D243" s="35" t="n">
        <v>368</v>
      </c>
      <c r="E243" s="35" t="n">
        <v>53</v>
      </c>
      <c r="F243" s="35" t="n">
        <v>7</v>
      </c>
      <c r="G243" s="35" t="n">
        <v>22390</v>
      </c>
      <c r="H243" s="35" t="n">
        <v>5754</v>
      </c>
      <c r="I243" s="28" t="str">
        <f aca="false">INDEX(Campaigns!$C$2:$C$31,MATCH(B243,Campaigns!$A$2:$A$31,0))</f>
        <v>Facebook &amp; Instagram Ads</v>
      </c>
      <c r="J243" s="40" t="n">
        <f aca="false">DATE(YEAR(A243),MONTH(A243),1)</f>
        <v>46204</v>
      </c>
    </row>
    <row r="244" customFormat="false" ht="15" hidden="false" customHeight="false" outlineLevel="0" collapsed="false">
      <c r="A244" s="34" t="n">
        <v>46231</v>
      </c>
      <c r="B244" s="28" t="s">
        <v>105</v>
      </c>
      <c r="C244" s="35" t="n">
        <v>5495</v>
      </c>
      <c r="D244" s="35" t="n">
        <v>215</v>
      </c>
      <c r="E244" s="35" t="n">
        <v>7</v>
      </c>
      <c r="F244" s="35" t="n">
        <v>8</v>
      </c>
      <c r="G244" s="35" t="n">
        <v>39870</v>
      </c>
      <c r="H244" s="35" t="n">
        <v>5121</v>
      </c>
      <c r="I244" s="28" t="str">
        <f aca="false">INDEX(Campaigns!$C$2:$C$31,MATCH(B244,Campaigns!$A$2:$A$31,0))</f>
        <v>Google Search Ads</v>
      </c>
      <c r="J244" s="40" t="n">
        <f aca="false">DATE(YEAR(A244),MONTH(A244),1)</f>
        <v>46204</v>
      </c>
    </row>
    <row r="245" customFormat="false" ht="15" hidden="false" customHeight="false" outlineLevel="0" collapsed="false">
      <c r="A245" s="34" t="n">
        <v>46231</v>
      </c>
      <c r="B245" s="28" t="s">
        <v>108</v>
      </c>
      <c r="C245" s="35" t="n">
        <v>7156</v>
      </c>
      <c r="D245" s="35" t="n">
        <v>234</v>
      </c>
      <c r="E245" s="35" t="n">
        <v>16</v>
      </c>
      <c r="F245" s="35" t="n">
        <v>7</v>
      </c>
      <c r="G245" s="35" t="n">
        <v>22380</v>
      </c>
      <c r="H245" s="35" t="n">
        <v>2564</v>
      </c>
      <c r="I245" s="28" t="str">
        <f aca="false">INDEX(Campaigns!$C$2:$C$31,MATCH(B245,Campaigns!$A$2:$A$31,0))</f>
        <v>Email</v>
      </c>
      <c r="J245" s="40" t="n">
        <f aca="false">DATE(YEAR(A245),MONTH(A245),1)</f>
        <v>46204</v>
      </c>
    </row>
    <row r="246" customFormat="false" ht="15" hidden="false" customHeight="false" outlineLevel="0" collapsed="false">
      <c r="A246" s="34" t="n">
        <v>46231</v>
      </c>
      <c r="B246" s="28" t="s">
        <v>112</v>
      </c>
      <c r="C246" s="35" t="n">
        <v>991</v>
      </c>
      <c r="D246" s="35" t="n">
        <v>69</v>
      </c>
      <c r="E246" s="35" t="n">
        <v>1</v>
      </c>
      <c r="F246" s="35" t="n">
        <v>2</v>
      </c>
      <c r="G246" s="35" t="n">
        <v>4470</v>
      </c>
      <c r="H246" s="35" t="n">
        <v>1379</v>
      </c>
      <c r="I246" s="28" t="str">
        <f aca="false">INDEX(Campaigns!$C$2:$C$31,MATCH(B246,Campaigns!$A$2:$A$31,0))</f>
        <v>WhatsApp Broadcast</v>
      </c>
      <c r="J246" s="40" t="n">
        <f aca="false">DATE(YEAR(A246),MONTH(A246),1)</f>
        <v>46204</v>
      </c>
    </row>
    <row r="247" customFormat="false" ht="15" hidden="false" customHeight="false" outlineLevel="0" collapsed="false">
      <c r="A247" s="34" t="n">
        <v>46231</v>
      </c>
      <c r="B247" s="28" t="s">
        <v>114</v>
      </c>
      <c r="C247" s="35" t="n">
        <v>788</v>
      </c>
      <c r="D247" s="35" t="n">
        <v>38</v>
      </c>
      <c r="E247" s="35" t="n">
        <v>4</v>
      </c>
      <c r="F247" s="35" t="n">
        <v>0</v>
      </c>
      <c r="G247" s="35" t="n">
        <v>0</v>
      </c>
      <c r="H247" s="35" t="n">
        <v>1097</v>
      </c>
      <c r="I247" s="28" t="str">
        <f aca="false">INDEX(Campaigns!$C$2:$C$31,MATCH(B247,Campaigns!$A$2:$A$31,0))</f>
        <v>WhatsApp Broadcast</v>
      </c>
      <c r="J247" s="40" t="n">
        <f aca="false">DATE(YEAR(A247),MONTH(A247),1)</f>
        <v>46204</v>
      </c>
    </row>
    <row r="248" customFormat="false" ht="15" hidden="false" customHeight="false" outlineLevel="0" collapsed="false">
      <c r="A248" s="34" t="n">
        <v>46231</v>
      </c>
      <c r="B248" s="28" t="s">
        <v>116</v>
      </c>
      <c r="C248" s="35" t="n">
        <v>24121</v>
      </c>
      <c r="D248" s="35" t="n">
        <v>294</v>
      </c>
      <c r="E248" s="35" t="n">
        <v>11</v>
      </c>
      <c r="F248" s="35" t="n">
        <v>8</v>
      </c>
      <c r="G248" s="35" t="n">
        <v>22620</v>
      </c>
      <c r="H248" s="35" t="n">
        <v>6279</v>
      </c>
      <c r="I248" s="28" t="str">
        <f aca="false">INDEX(Campaigns!$C$2:$C$31,MATCH(B248,Campaigns!$A$2:$A$31,0))</f>
        <v>Facebook &amp; Instagram Ads</v>
      </c>
      <c r="J248" s="40" t="n">
        <f aca="false">DATE(YEAR(A248),MONTH(A248),1)</f>
        <v>46204</v>
      </c>
    </row>
    <row r="249" customFormat="false" ht="15" hidden="false" customHeight="false" outlineLevel="0" collapsed="false">
      <c r="A249" s="34" t="n">
        <v>46231</v>
      </c>
      <c r="B249" s="28" t="s">
        <v>118</v>
      </c>
      <c r="C249" s="35" t="n">
        <v>2933</v>
      </c>
      <c r="D249" s="35" t="n">
        <v>141</v>
      </c>
      <c r="E249" s="35" t="n">
        <v>8</v>
      </c>
      <c r="F249" s="35" t="n">
        <v>2</v>
      </c>
      <c r="G249" s="35" t="n">
        <v>8900</v>
      </c>
      <c r="H249" s="35" t="n">
        <v>2571</v>
      </c>
      <c r="I249" s="28" t="str">
        <f aca="false">INDEX(Campaigns!$C$2:$C$31,MATCH(B249,Campaigns!$A$2:$A$31,0))</f>
        <v>Google Search Ads</v>
      </c>
      <c r="J249" s="40" t="n">
        <f aca="false">DATE(YEAR(A249),MONTH(A249),1)</f>
        <v>46204</v>
      </c>
    </row>
    <row r="250" customFormat="false" ht="15" hidden="false" customHeight="false" outlineLevel="0" collapsed="false">
      <c r="A250" s="34" t="n">
        <v>46231</v>
      </c>
      <c r="B250" s="28" t="s">
        <v>120</v>
      </c>
      <c r="C250" s="35" t="n">
        <v>61089</v>
      </c>
      <c r="D250" s="35" t="n">
        <v>470</v>
      </c>
      <c r="E250" s="35" t="n">
        <v>22</v>
      </c>
      <c r="F250" s="35" t="n">
        <v>6</v>
      </c>
      <c r="G250" s="35" t="n">
        <v>18720</v>
      </c>
      <c r="H250" s="35" t="n">
        <v>11963</v>
      </c>
      <c r="I250" s="28" t="str">
        <f aca="false">INDEX(Campaigns!$C$2:$C$31,MATCH(B250,Campaigns!$A$2:$A$31,0))</f>
        <v>TikTok Ads</v>
      </c>
      <c r="J250" s="40" t="n">
        <f aca="false">DATE(YEAR(A250),MONTH(A250),1)</f>
        <v>46204</v>
      </c>
    </row>
    <row r="251" customFormat="false" ht="15" hidden="false" customHeight="false" outlineLevel="0" collapsed="false">
      <c r="A251" s="34" t="n">
        <v>46231</v>
      </c>
      <c r="B251" s="28" t="s">
        <v>122</v>
      </c>
      <c r="C251" s="35" t="n">
        <v>119641</v>
      </c>
      <c r="D251" s="35" t="n">
        <v>923</v>
      </c>
      <c r="E251" s="35" t="n">
        <v>37</v>
      </c>
      <c r="F251" s="35" t="n">
        <v>9</v>
      </c>
      <c r="G251" s="35" t="n">
        <v>22150</v>
      </c>
      <c r="H251" s="35" t="n">
        <v>22125</v>
      </c>
      <c r="I251" s="28" t="str">
        <f aca="false">INDEX(Campaigns!$C$2:$C$31,MATCH(B251,Campaigns!$A$2:$A$31,0))</f>
        <v>TikTok Ads</v>
      </c>
      <c r="J251" s="40" t="n">
        <f aca="false">DATE(YEAR(A251),MONTH(A251),1)</f>
        <v>46204</v>
      </c>
    </row>
    <row r="252" customFormat="false" ht="15" hidden="false" customHeight="false" outlineLevel="0" collapsed="false">
      <c r="A252" s="34" t="n">
        <v>46231</v>
      </c>
      <c r="B252" s="28" t="s">
        <v>124</v>
      </c>
      <c r="C252" s="35" t="n">
        <v>6927</v>
      </c>
      <c r="D252" s="35" t="n">
        <v>138</v>
      </c>
      <c r="E252" s="35" t="n">
        <v>8</v>
      </c>
      <c r="F252" s="35" t="n">
        <v>5</v>
      </c>
      <c r="G252" s="35" t="n">
        <v>14260</v>
      </c>
      <c r="H252" s="35" t="n">
        <v>2332</v>
      </c>
      <c r="I252" s="28" t="str">
        <f aca="false">INDEX(Campaigns!$C$2:$C$31,MATCH(B252,Campaigns!$A$2:$A$31,0))</f>
        <v>Email</v>
      </c>
      <c r="J252" s="40" t="n">
        <f aca="false">DATE(YEAR(A252),MONTH(A252),1)</f>
        <v>46204</v>
      </c>
    </row>
    <row r="253" customFormat="false" ht="15" hidden="false" customHeight="false" outlineLevel="0" collapsed="false">
      <c r="A253" s="34" t="n">
        <v>46231</v>
      </c>
      <c r="B253" s="28" t="s">
        <v>126</v>
      </c>
      <c r="C253" s="35" t="n">
        <v>14699</v>
      </c>
      <c r="D253" s="35" t="n">
        <v>97</v>
      </c>
      <c r="E253" s="35" t="n">
        <v>1</v>
      </c>
      <c r="F253" s="35" t="n">
        <v>2</v>
      </c>
      <c r="G253" s="35" t="n">
        <v>5820</v>
      </c>
      <c r="H253" s="35" t="n">
        <v>2519</v>
      </c>
      <c r="I253" s="28" t="str">
        <f aca="false">INDEX(Campaigns!$C$2:$C$31,MATCH(B253,Campaigns!$A$2:$A$31,0))</f>
        <v>TikTok Ads</v>
      </c>
      <c r="J253" s="40" t="n">
        <f aca="false">DATE(YEAR(A253),MONTH(A253),1)</f>
        <v>46204</v>
      </c>
    </row>
    <row r="254" customFormat="false" ht="15" hidden="false" customHeight="false" outlineLevel="0" collapsed="false">
      <c r="A254" s="34" t="n">
        <v>46231</v>
      </c>
      <c r="B254" s="28" t="s">
        <v>128</v>
      </c>
      <c r="C254" s="35" t="n">
        <v>25363</v>
      </c>
      <c r="D254" s="35" t="n">
        <v>1388</v>
      </c>
      <c r="E254" s="35" t="n">
        <v>52</v>
      </c>
      <c r="F254" s="35" t="n">
        <v>95</v>
      </c>
      <c r="G254" s="35" t="n">
        <v>343200</v>
      </c>
      <c r="H254" s="35" t="n">
        <v>24655</v>
      </c>
      <c r="I254" s="28" t="str">
        <f aca="false">INDEX(Campaigns!$C$2:$C$31,MATCH(B254,Campaigns!$A$2:$A$31,0))</f>
        <v>Google Search Ads</v>
      </c>
      <c r="J254" s="40" t="n">
        <f aca="false">DATE(YEAR(A254),MONTH(A254),1)</f>
        <v>46204</v>
      </c>
    </row>
    <row r="255" customFormat="false" ht="15" hidden="false" customHeight="false" outlineLevel="0" collapsed="false">
      <c r="A255" s="34" t="n">
        <v>46231</v>
      </c>
      <c r="B255" s="28" t="s">
        <v>134</v>
      </c>
      <c r="C255" s="35" t="n">
        <v>2187</v>
      </c>
      <c r="D255" s="35" t="n">
        <v>132</v>
      </c>
      <c r="E255" s="35" t="n">
        <v>8</v>
      </c>
      <c r="F255" s="35" t="n">
        <v>11</v>
      </c>
      <c r="G255" s="35" t="n">
        <v>27300</v>
      </c>
      <c r="H255" s="35" t="n">
        <v>3261</v>
      </c>
      <c r="I255" s="28" t="str">
        <f aca="false">INDEX(Campaigns!$C$2:$C$31,MATCH(B255,Campaigns!$A$2:$A$31,0))</f>
        <v>WhatsApp Broadcast</v>
      </c>
      <c r="J255" s="40" t="n">
        <f aca="false">DATE(YEAR(A255),MONTH(A255),1)</f>
        <v>46204</v>
      </c>
    </row>
    <row r="256" customFormat="false" ht="15" hidden="false" customHeight="false" outlineLevel="0" collapsed="false">
      <c r="A256" s="34" t="n">
        <v>46231</v>
      </c>
      <c r="B256" s="28" t="s">
        <v>139</v>
      </c>
      <c r="C256" s="35" t="n">
        <v>17262</v>
      </c>
      <c r="D256" s="35" t="n">
        <v>170</v>
      </c>
      <c r="E256" s="35" t="n">
        <v>7</v>
      </c>
      <c r="F256" s="35" t="n">
        <v>4</v>
      </c>
      <c r="G256" s="35" t="n">
        <v>11530</v>
      </c>
      <c r="H256" s="35" t="n">
        <v>2881</v>
      </c>
      <c r="I256" s="28" t="str">
        <f aca="false">INDEX(Campaigns!$C$2:$C$31,MATCH(B256,Campaigns!$A$2:$A$31,0))</f>
        <v>TikTok Ads</v>
      </c>
      <c r="J256" s="40" t="n">
        <f aca="false">DATE(YEAR(A256),MONTH(A256),1)</f>
        <v>46204</v>
      </c>
    </row>
    <row r="257" customFormat="false" ht="15" hidden="false" customHeight="false" outlineLevel="0" collapsed="false">
      <c r="A257" s="34" t="n">
        <v>46231</v>
      </c>
      <c r="B257" s="28" t="s">
        <v>141</v>
      </c>
      <c r="C257" s="35" t="n">
        <v>7999</v>
      </c>
      <c r="D257" s="35" t="n">
        <v>263</v>
      </c>
      <c r="E257" s="35" t="n">
        <v>9</v>
      </c>
      <c r="F257" s="35" t="n">
        <v>6</v>
      </c>
      <c r="G257" s="35" t="n">
        <v>17050</v>
      </c>
      <c r="H257" s="35" t="n">
        <v>2791</v>
      </c>
      <c r="I257" s="28" t="str">
        <f aca="false">INDEX(Campaigns!$C$2:$C$31,MATCH(B257,Campaigns!$A$2:$A$31,0))</f>
        <v>Email</v>
      </c>
      <c r="J257" s="40" t="n">
        <f aca="false">DATE(YEAR(A257),MONTH(A257),1)</f>
        <v>46204</v>
      </c>
    </row>
    <row r="258" customFormat="false" ht="15" hidden="false" customHeight="false" outlineLevel="0" collapsed="false">
      <c r="A258" s="34" t="n">
        <v>46231</v>
      </c>
      <c r="B258" s="28" t="s">
        <v>145</v>
      </c>
      <c r="C258" s="35" t="n">
        <v>7206</v>
      </c>
      <c r="D258" s="35" t="n">
        <v>361</v>
      </c>
      <c r="E258" s="35" t="n">
        <v>14</v>
      </c>
      <c r="F258" s="35" t="n">
        <v>18</v>
      </c>
      <c r="G258" s="35" t="n">
        <v>69390</v>
      </c>
      <c r="H258" s="35" t="n">
        <v>6923</v>
      </c>
      <c r="I258" s="28" t="str">
        <f aca="false">INDEX(Campaigns!$C$2:$C$31,MATCH(B258,Campaigns!$A$2:$A$31,0))</f>
        <v>Google Search Ads</v>
      </c>
      <c r="J258" s="40" t="n">
        <f aca="false">DATE(YEAR(A258),MONTH(A258),1)</f>
        <v>46204</v>
      </c>
    </row>
    <row r="259" customFormat="false" ht="15" hidden="false" customHeight="false" outlineLevel="0" collapsed="false">
      <c r="A259" s="34" t="n">
        <v>46231</v>
      </c>
      <c r="B259" s="28" t="s">
        <v>147</v>
      </c>
      <c r="C259" s="35" t="n">
        <v>21001</v>
      </c>
      <c r="D259" s="35" t="n">
        <v>288</v>
      </c>
      <c r="E259" s="35" t="n">
        <v>5</v>
      </c>
      <c r="F259" s="35" t="n">
        <v>0</v>
      </c>
      <c r="G259" s="35" t="n">
        <v>0</v>
      </c>
      <c r="H259" s="35" t="n">
        <v>5189</v>
      </c>
      <c r="I259" s="28" t="str">
        <f aca="false">INDEX(Campaigns!$C$2:$C$31,MATCH(B259,Campaigns!$A$2:$A$31,0))</f>
        <v>Facebook &amp; Instagram Ads</v>
      </c>
      <c r="J259" s="40" t="n">
        <f aca="false">DATE(YEAR(A259),MONTH(A259),1)</f>
        <v>46204</v>
      </c>
    </row>
    <row r="260" customFormat="false" ht="15" hidden="false" customHeight="false" outlineLevel="0" collapsed="false">
      <c r="A260" s="34" t="n">
        <v>46231</v>
      </c>
      <c r="B260" s="28" t="s">
        <v>154</v>
      </c>
      <c r="C260" s="35" t="n">
        <v>5486</v>
      </c>
      <c r="D260" s="35" t="n">
        <v>44</v>
      </c>
      <c r="E260" s="35" t="n">
        <v>2</v>
      </c>
      <c r="F260" s="35" t="n">
        <v>0</v>
      </c>
      <c r="G260" s="35" t="n">
        <v>0</v>
      </c>
      <c r="H260" s="35" t="n">
        <v>3646</v>
      </c>
      <c r="I260" s="28" t="str">
        <f aca="false">INDEX(Campaigns!$C$2:$C$31,MATCH(B260,Campaigns!$A$2:$A$31,0))</f>
        <v>Influencer Partnerships</v>
      </c>
      <c r="J260" s="40" t="n">
        <f aca="false">DATE(YEAR(A260),MONTH(A260),1)</f>
        <v>46204</v>
      </c>
    </row>
    <row r="261" customFormat="false" ht="15" hidden="false" customHeight="false" outlineLevel="0" collapsed="false">
      <c r="A261" s="34" t="n">
        <v>46231</v>
      </c>
      <c r="B261" s="28" t="s">
        <v>156</v>
      </c>
      <c r="C261" s="35" t="n">
        <v>39313</v>
      </c>
      <c r="D261" s="35" t="n">
        <v>346</v>
      </c>
      <c r="E261" s="35" t="n">
        <v>37</v>
      </c>
      <c r="F261" s="35" t="n">
        <v>7</v>
      </c>
      <c r="G261" s="35" t="n">
        <v>20980</v>
      </c>
      <c r="H261" s="35" t="n">
        <v>6739</v>
      </c>
      <c r="I261" s="28" t="str">
        <f aca="false">INDEX(Campaigns!$C$2:$C$31,MATCH(B261,Campaigns!$A$2:$A$31,0))</f>
        <v>TikTok Ads</v>
      </c>
      <c r="J261" s="40" t="n">
        <f aca="false">DATE(YEAR(A261),MONTH(A261),1)</f>
        <v>46204</v>
      </c>
    </row>
    <row r="262" customFormat="false" ht="15" hidden="false" customHeight="false" outlineLevel="0" collapsed="false">
      <c r="A262" s="34" t="n">
        <v>46231</v>
      </c>
      <c r="B262" s="28" t="s">
        <v>159</v>
      </c>
      <c r="C262" s="35" t="n">
        <v>27380</v>
      </c>
      <c r="D262" s="35" t="n">
        <v>416</v>
      </c>
      <c r="E262" s="35" t="n">
        <v>71</v>
      </c>
      <c r="F262" s="35" t="n">
        <v>12</v>
      </c>
      <c r="G262" s="35" t="n">
        <v>34180</v>
      </c>
      <c r="H262" s="35" t="n">
        <v>7039</v>
      </c>
      <c r="I262" s="28" t="str">
        <f aca="false">INDEX(Campaigns!$C$2:$C$31,MATCH(B262,Campaigns!$A$2:$A$31,0))</f>
        <v>Facebook &amp; Instagram Ads</v>
      </c>
      <c r="J262" s="40" t="n">
        <f aca="false">DATE(YEAR(A262),MONTH(A262),1)</f>
        <v>46204</v>
      </c>
    </row>
    <row r="263" customFormat="false" ht="15" hidden="false" customHeight="false" outlineLevel="0" collapsed="false">
      <c r="A263" s="34" t="n">
        <v>46231</v>
      </c>
      <c r="B263" s="28" t="s">
        <v>163</v>
      </c>
      <c r="C263" s="35" t="n">
        <v>1680</v>
      </c>
      <c r="D263" s="35" t="n">
        <v>49</v>
      </c>
      <c r="E263" s="35" t="n">
        <v>2</v>
      </c>
      <c r="F263" s="35" t="n">
        <v>2</v>
      </c>
      <c r="G263" s="35" t="n">
        <v>8070</v>
      </c>
      <c r="H263" s="35" t="n">
        <v>567</v>
      </c>
      <c r="I263" s="28" t="str">
        <f aca="false">INDEX(Campaigns!$C$2:$C$31,MATCH(B263,Campaigns!$A$2:$A$31,0))</f>
        <v>Email</v>
      </c>
      <c r="J263" s="40" t="n">
        <f aca="false">DATE(YEAR(A263),MONTH(A263),1)</f>
        <v>46204</v>
      </c>
    </row>
    <row r="264" customFormat="false" ht="15" hidden="false" customHeight="false" outlineLevel="0" collapsed="false">
      <c r="A264" s="34" t="n">
        <v>46232</v>
      </c>
      <c r="B264" s="28" t="s">
        <v>105</v>
      </c>
      <c r="C264" s="35" t="n">
        <v>6133</v>
      </c>
      <c r="D264" s="35" t="n">
        <v>208</v>
      </c>
      <c r="E264" s="35" t="n">
        <v>9</v>
      </c>
      <c r="F264" s="35" t="n">
        <v>5</v>
      </c>
      <c r="G264" s="35" t="n">
        <v>21060</v>
      </c>
      <c r="H264" s="35" t="n">
        <v>5248</v>
      </c>
      <c r="I264" s="28" t="str">
        <f aca="false">INDEX(Campaigns!$C$2:$C$31,MATCH(B264,Campaigns!$A$2:$A$31,0))</f>
        <v>Google Search Ads</v>
      </c>
      <c r="J264" s="40" t="n">
        <f aca="false">DATE(YEAR(A264),MONTH(A264),1)</f>
        <v>46204</v>
      </c>
    </row>
    <row r="265" customFormat="false" ht="15" hidden="false" customHeight="false" outlineLevel="0" collapsed="false">
      <c r="A265" s="34" t="n">
        <v>46232</v>
      </c>
      <c r="B265" s="28" t="s">
        <v>108</v>
      </c>
      <c r="C265" s="35" t="n">
        <v>6569</v>
      </c>
      <c r="D265" s="35" t="n">
        <v>210</v>
      </c>
      <c r="E265" s="35" t="n">
        <v>9</v>
      </c>
      <c r="F265" s="35" t="n">
        <v>11</v>
      </c>
      <c r="G265" s="35" t="n">
        <v>35110</v>
      </c>
      <c r="H265" s="35" t="n">
        <v>2190</v>
      </c>
      <c r="I265" s="28" t="str">
        <f aca="false">INDEX(Campaigns!$C$2:$C$31,MATCH(B265,Campaigns!$A$2:$A$31,0))</f>
        <v>Email</v>
      </c>
      <c r="J265" s="40" t="n">
        <f aca="false">DATE(YEAR(A265),MONTH(A265),1)</f>
        <v>46204</v>
      </c>
    </row>
    <row r="266" customFormat="false" ht="15" hidden="false" customHeight="false" outlineLevel="0" collapsed="false">
      <c r="A266" s="34" t="n">
        <v>46232</v>
      </c>
      <c r="B266" s="28" t="s">
        <v>112</v>
      </c>
      <c r="C266" s="35" t="n">
        <v>1232</v>
      </c>
      <c r="D266" s="35" t="n">
        <v>79</v>
      </c>
      <c r="E266" s="35" t="n">
        <v>0</v>
      </c>
      <c r="F266" s="35" t="n">
        <v>2</v>
      </c>
      <c r="G266" s="35" t="n">
        <v>5830</v>
      </c>
      <c r="H266" s="35" t="n">
        <v>1732</v>
      </c>
      <c r="I266" s="28" t="str">
        <f aca="false">INDEX(Campaigns!$C$2:$C$31,MATCH(B266,Campaigns!$A$2:$A$31,0))</f>
        <v>WhatsApp Broadcast</v>
      </c>
      <c r="J266" s="40" t="n">
        <f aca="false">DATE(YEAR(A266),MONTH(A266),1)</f>
        <v>46204</v>
      </c>
    </row>
    <row r="267" customFormat="false" ht="15" hidden="false" customHeight="false" outlineLevel="0" collapsed="false">
      <c r="A267" s="34" t="n">
        <v>46232</v>
      </c>
      <c r="B267" s="28" t="s">
        <v>114</v>
      </c>
      <c r="C267" s="35" t="n">
        <v>802</v>
      </c>
      <c r="D267" s="35" t="n">
        <v>46</v>
      </c>
      <c r="E267" s="35" t="n">
        <v>4</v>
      </c>
      <c r="F267" s="35" t="n">
        <v>3</v>
      </c>
      <c r="G267" s="35" t="n">
        <v>10240</v>
      </c>
      <c r="H267" s="35" t="n">
        <v>1040</v>
      </c>
      <c r="I267" s="28" t="str">
        <f aca="false">INDEX(Campaigns!$C$2:$C$31,MATCH(B267,Campaigns!$A$2:$A$31,0))</f>
        <v>WhatsApp Broadcast</v>
      </c>
      <c r="J267" s="40" t="n">
        <f aca="false">DATE(YEAR(A267),MONTH(A267),1)</f>
        <v>46204</v>
      </c>
    </row>
    <row r="268" customFormat="false" ht="15" hidden="false" customHeight="false" outlineLevel="0" collapsed="false">
      <c r="A268" s="34" t="n">
        <v>46232</v>
      </c>
      <c r="B268" s="28" t="s">
        <v>116</v>
      </c>
      <c r="C268" s="35" t="n">
        <v>20175</v>
      </c>
      <c r="D268" s="35" t="n">
        <v>232</v>
      </c>
      <c r="E268" s="35" t="n">
        <v>8</v>
      </c>
      <c r="F268" s="35" t="n">
        <v>7</v>
      </c>
      <c r="G268" s="35" t="n">
        <v>22410</v>
      </c>
      <c r="H268" s="35" t="n">
        <v>4913</v>
      </c>
      <c r="I268" s="28" t="str">
        <f aca="false">INDEX(Campaigns!$C$2:$C$31,MATCH(B268,Campaigns!$A$2:$A$31,0))</f>
        <v>Facebook &amp; Instagram Ads</v>
      </c>
      <c r="J268" s="40" t="n">
        <f aca="false">DATE(YEAR(A268),MONTH(A268),1)</f>
        <v>46204</v>
      </c>
    </row>
    <row r="269" customFormat="false" ht="15" hidden="false" customHeight="false" outlineLevel="0" collapsed="false">
      <c r="A269" s="34" t="n">
        <v>46232</v>
      </c>
      <c r="B269" s="28" t="s">
        <v>118</v>
      </c>
      <c r="C269" s="35" t="n">
        <v>2907</v>
      </c>
      <c r="D269" s="35" t="n">
        <v>131</v>
      </c>
      <c r="E269" s="35" t="n">
        <v>7</v>
      </c>
      <c r="F269" s="35" t="n">
        <v>10</v>
      </c>
      <c r="G269" s="35" t="n">
        <v>42220</v>
      </c>
      <c r="H269" s="35" t="n">
        <v>2672</v>
      </c>
      <c r="I269" s="28" t="str">
        <f aca="false">INDEX(Campaigns!$C$2:$C$31,MATCH(B269,Campaigns!$A$2:$A$31,0))</f>
        <v>Google Search Ads</v>
      </c>
      <c r="J269" s="40" t="n">
        <f aca="false">DATE(YEAR(A269),MONTH(A269),1)</f>
        <v>46204</v>
      </c>
    </row>
    <row r="270" customFormat="false" ht="15" hidden="false" customHeight="false" outlineLevel="0" collapsed="false">
      <c r="A270" s="34" t="n">
        <v>46232</v>
      </c>
      <c r="B270" s="28" t="s">
        <v>122</v>
      </c>
      <c r="C270" s="35" t="n">
        <v>140389</v>
      </c>
      <c r="D270" s="35" t="n">
        <v>1175</v>
      </c>
      <c r="E270" s="35" t="n">
        <v>47</v>
      </c>
      <c r="F270" s="35" t="n">
        <v>12</v>
      </c>
      <c r="G270" s="35" t="n">
        <v>29680</v>
      </c>
      <c r="H270" s="35" t="n">
        <v>26486</v>
      </c>
      <c r="I270" s="28" t="str">
        <f aca="false">INDEX(Campaigns!$C$2:$C$31,MATCH(B270,Campaigns!$A$2:$A$31,0))</f>
        <v>TikTok Ads</v>
      </c>
      <c r="J270" s="40" t="n">
        <f aca="false">DATE(YEAR(A270),MONTH(A270),1)</f>
        <v>46204</v>
      </c>
    </row>
    <row r="271" customFormat="false" ht="15" hidden="false" customHeight="false" outlineLevel="0" collapsed="false">
      <c r="A271" s="34" t="n">
        <v>46232</v>
      </c>
      <c r="B271" s="28" t="s">
        <v>124</v>
      </c>
      <c r="C271" s="35" t="n">
        <v>8018</v>
      </c>
      <c r="D271" s="35" t="n">
        <v>191</v>
      </c>
      <c r="E271" s="35" t="n">
        <v>12</v>
      </c>
      <c r="F271" s="35" t="n">
        <v>4</v>
      </c>
      <c r="G271" s="35" t="n">
        <v>14180</v>
      </c>
      <c r="H271" s="35" t="n">
        <v>2786</v>
      </c>
      <c r="I271" s="28" t="str">
        <f aca="false">INDEX(Campaigns!$C$2:$C$31,MATCH(B271,Campaigns!$A$2:$A$31,0))</f>
        <v>Email</v>
      </c>
      <c r="J271" s="40" t="n">
        <f aca="false">DATE(YEAR(A271),MONTH(A271),1)</f>
        <v>46204</v>
      </c>
    </row>
    <row r="272" customFormat="false" ht="15" hidden="false" customHeight="false" outlineLevel="0" collapsed="false">
      <c r="A272" s="34" t="n">
        <v>46232</v>
      </c>
      <c r="B272" s="28" t="s">
        <v>128</v>
      </c>
      <c r="C272" s="35" t="n">
        <v>23742</v>
      </c>
      <c r="D272" s="35" t="n">
        <v>1293</v>
      </c>
      <c r="E272" s="35" t="n">
        <v>60</v>
      </c>
      <c r="F272" s="35" t="n">
        <v>82</v>
      </c>
      <c r="G272" s="35" t="n">
        <v>312750</v>
      </c>
      <c r="H272" s="35" t="n">
        <v>21499</v>
      </c>
      <c r="I272" s="28" t="str">
        <f aca="false">INDEX(Campaigns!$C$2:$C$31,MATCH(B272,Campaigns!$A$2:$A$31,0))</f>
        <v>Google Search Ads</v>
      </c>
      <c r="J272" s="40" t="n">
        <f aca="false">DATE(YEAR(A272),MONTH(A272),1)</f>
        <v>46204</v>
      </c>
    </row>
    <row r="273" customFormat="false" ht="15" hidden="false" customHeight="false" outlineLevel="0" collapsed="false">
      <c r="A273" s="34" t="n">
        <v>46232</v>
      </c>
      <c r="B273" s="28" t="s">
        <v>134</v>
      </c>
      <c r="C273" s="35" t="n">
        <v>2278</v>
      </c>
      <c r="D273" s="35" t="n">
        <v>148</v>
      </c>
      <c r="E273" s="35" t="n">
        <v>8</v>
      </c>
      <c r="F273" s="35" t="n">
        <v>10</v>
      </c>
      <c r="G273" s="35" t="n">
        <v>29180</v>
      </c>
      <c r="H273" s="35" t="n">
        <v>3200</v>
      </c>
      <c r="I273" s="28" t="str">
        <f aca="false">INDEX(Campaigns!$C$2:$C$31,MATCH(B273,Campaigns!$A$2:$A$31,0))</f>
        <v>WhatsApp Broadcast</v>
      </c>
      <c r="J273" s="40" t="n">
        <f aca="false">DATE(YEAR(A273),MONTH(A273),1)</f>
        <v>46204</v>
      </c>
    </row>
    <row r="274" customFormat="false" ht="15" hidden="false" customHeight="false" outlineLevel="0" collapsed="false">
      <c r="A274" s="34" t="n">
        <v>46232</v>
      </c>
      <c r="B274" s="28" t="s">
        <v>136</v>
      </c>
      <c r="C274" s="35" t="n">
        <v>10909</v>
      </c>
      <c r="D274" s="35" t="n">
        <v>342</v>
      </c>
      <c r="E274" s="35" t="n">
        <v>19</v>
      </c>
      <c r="F274" s="35" t="n">
        <v>12</v>
      </c>
      <c r="G274" s="35" t="n">
        <v>40530</v>
      </c>
      <c r="H274" s="35" t="n">
        <v>3665</v>
      </c>
      <c r="I274" s="28" t="str">
        <f aca="false">INDEX(Campaigns!$C$2:$C$31,MATCH(B274,Campaigns!$A$2:$A$31,0))</f>
        <v>Email</v>
      </c>
      <c r="J274" s="40" t="n">
        <f aca="false">DATE(YEAR(A274),MONTH(A274),1)</f>
        <v>46204</v>
      </c>
    </row>
    <row r="275" customFormat="false" ht="15" hidden="false" customHeight="false" outlineLevel="0" collapsed="false">
      <c r="A275" s="34" t="n">
        <v>46232</v>
      </c>
      <c r="B275" s="28" t="s">
        <v>139</v>
      </c>
      <c r="C275" s="35" t="n">
        <v>14140</v>
      </c>
      <c r="D275" s="35" t="n">
        <v>165</v>
      </c>
      <c r="E275" s="35" t="n">
        <v>5</v>
      </c>
      <c r="F275" s="35" t="n">
        <v>3</v>
      </c>
      <c r="G275" s="35" t="n">
        <v>8090</v>
      </c>
      <c r="H275" s="35" t="n">
        <v>2709</v>
      </c>
      <c r="I275" s="28" t="str">
        <f aca="false">INDEX(Campaigns!$C$2:$C$31,MATCH(B275,Campaigns!$A$2:$A$31,0))</f>
        <v>TikTok Ads</v>
      </c>
      <c r="J275" s="40" t="n">
        <f aca="false">DATE(YEAR(A275),MONTH(A275),1)</f>
        <v>46204</v>
      </c>
    </row>
    <row r="276" customFormat="false" ht="15" hidden="false" customHeight="false" outlineLevel="0" collapsed="false">
      <c r="A276" s="34" t="n">
        <v>46232</v>
      </c>
      <c r="B276" s="28" t="s">
        <v>141</v>
      </c>
      <c r="C276" s="35" t="n">
        <v>5745</v>
      </c>
      <c r="D276" s="35" t="n">
        <v>192</v>
      </c>
      <c r="E276" s="35" t="n">
        <v>10</v>
      </c>
      <c r="F276" s="35" t="n">
        <v>10</v>
      </c>
      <c r="G276" s="35" t="n">
        <v>30910</v>
      </c>
      <c r="H276" s="35" t="n">
        <v>2139</v>
      </c>
      <c r="I276" s="28" t="str">
        <f aca="false">INDEX(Campaigns!$C$2:$C$31,MATCH(B276,Campaigns!$A$2:$A$31,0))</f>
        <v>Email</v>
      </c>
      <c r="J276" s="40" t="n">
        <f aca="false">DATE(YEAR(A276),MONTH(A276),1)</f>
        <v>46204</v>
      </c>
    </row>
    <row r="277" customFormat="false" ht="15" hidden="false" customHeight="false" outlineLevel="0" collapsed="false">
      <c r="A277" s="34" t="n">
        <v>46232</v>
      </c>
      <c r="B277" s="28" t="s">
        <v>145</v>
      </c>
      <c r="C277" s="35" t="n">
        <v>8586</v>
      </c>
      <c r="D277" s="35" t="n">
        <v>490</v>
      </c>
      <c r="E277" s="35" t="n">
        <v>18</v>
      </c>
      <c r="F277" s="35" t="n">
        <v>17</v>
      </c>
      <c r="G277" s="35" t="n">
        <v>60590</v>
      </c>
      <c r="H277" s="35" t="n">
        <v>8099</v>
      </c>
      <c r="I277" s="28" t="str">
        <f aca="false">INDEX(Campaigns!$C$2:$C$31,MATCH(B277,Campaigns!$A$2:$A$31,0))</f>
        <v>Google Search Ads</v>
      </c>
      <c r="J277" s="40" t="n">
        <f aca="false">DATE(YEAR(A277),MONTH(A277),1)</f>
        <v>46204</v>
      </c>
    </row>
    <row r="278" customFormat="false" ht="15" hidden="false" customHeight="false" outlineLevel="0" collapsed="false">
      <c r="A278" s="34" t="n">
        <v>46232</v>
      </c>
      <c r="B278" s="28" t="s">
        <v>147</v>
      </c>
      <c r="C278" s="35" t="n">
        <v>26189</v>
      </c>
      <c r="D278" s="35" t="n">
        <v>350</v>
      </c>
      <c r="E278" s="35" t="n">
        <v>7</v>
      </c>
      <c r="F278" s="35" t="n">
        <v>0</v>
      </c>
      <c r="G278" s="35" t="n">
        <v>0</v>
      </c>
      <c r="H278" s="35" t="n">
        <v>6309</v>
      </c>
      <c r="I278" s="28" t="str">
        <f aca="false">INDEX(Campaigns!$C$2:$C$31,MATCH(B278,Campaigns!$A$2:$A$31,0))</f>
        <v>Facebook &amp; Instagram Ads</v>
      </c>
      <c r="J278" s="40" t="n">
        <f aca="false">DATE(YEAR(A278),MONTH(A278),1)</f>
        <v>46204</v>
      </c>
    </row>
    <row r="279" customFormat="false" ht="15" hidden="false" customHeight="false" outlineLevel="0" collapsed="false">
      <c r="A279" s="34" t="n">
        <v>46232</v>
      </c>
      <c r="B279" s="28" t="s">
        <v>154</v>
      </c>
      <c r="C279" s="35" t="n">
        <v>6267</v>
      </c>
      <c r="D279" s="35" t="n">
        <v>54</v>
      </c>
      <c r="E279" s="35" t="n">
        <v>0</v>
      </c>
      <c r="F279" s="35" t="n">
        <v>2</v>
      </c>
      <c r="G279" s="35" t="n">
        <v>6490</v>
      </c>
      <c r="H279" s="35" t="n">
        <v>4100</v>
      </c>
      <c r="I279" s="28" t="str">
        <f aca="false">INDEX(Campaigns!$C$2:$C$31,MATCH(B279,Campaigns!$A$2:$A$31,0))</f>
        <v>Influencer Partnerships</v>
      </c>
      <c r="J279" s="40" t="n">
        <f aca="false">DATE(YEAR(A279),MONTH(A279),1)</f>
        <v>46204</v>
      </c>
    </row>
    <row r="280" customFormat="false" ht="15" hidden="false" customHeight="false" outlineLevel="0" collapsed="false">
      <c r="A280" s="34" t="n">
        <v>46232</v>
      </c>
      <c r="B280" s="28" t="s">
        <v>156</v>
      </c>
      <c r="C280" s="35" t="n">
        <v>36268</v>
      </c>
      <c r="D280" s="35" t="n">
        <v>343</v>
      </c>
      <c r="E280" s="35" t="n">
        <v>46</v>
      </c>
      <c r="F280" s="35" t="n">
        <v>7</v>
      </c>
      <c r="G280" s="35" t="n">
        <v>17970</v>
      </c>
      <c r="H280" s="35" t="n">
        <v>6816</v>
      </c>
      <c r="I280" s="28" t="str">
        <f aca="false">INDEX(Campaigns!$C$2:$C$31,MATCH(B280,Campaigns!$A$2:$A$31,0))</f>
        <v>TikTok Ads</v>
      </c>
      <c r="J280" s="40" t="n">
        <f aca="false">DATE(YEAR(A280),MONTH(A280),1)</f>
        <v>46204</v>
      </c>
    </row>
    <row r="281" customFormat="false" ht="15" hidden="false" customHeight="false" outlineLevel="0" collapsed="false">
      <c r="A281" s="34" t="n">
        <v>46232</v>
      </c>
      <c r="B281" s="28" t="s">
        <v>159</v>
      </c>
      <c r="C281" s="35" t="n">
        <v>27905</v>
      </c>
      <c r="D281" s="35" t="n">
        <v>396</v>
      </c>
      <c r="E281" s="35" t="n">
        <v>47</v>
      </c>
      <c r="F281" s="35" t="n">
        <v>3</v>
      </c>
      <c r="G281" s="35" t="n">
        <v>11670</v>
      </c>
      <c r="H281" s="35" t="n">
        <v>6466</v>
      </c>
      <c r="I281" s="28" t="str">
        <f aca="false">INDEX(Campaigns!$C$2:$C$31,MATCH(B281,Campaigns!$A$2:$A$31,0))</f>
        <v>Facebook &amp; Instagram Ads</v>
      </c>
      <c r="J281" s="40" t="n">
        <f aca="false">DATE(YEAR(A281),MONTH(A281),1)</f>
        <v>46204</v>
      </c>
    </row>
    <row r="282" customFormat="false" ht="15" hidden="false" customHeight="false" outlineLevel="0" collapsed="false">
      <c r="A282" s="34" t="n">
        <v>46232</v>
      </c>
      <c r="B282" s="28" t="s">
        <v>163</v>
      </c>
      <c r="C282" s="35" t="n">
        <v>1625</v>
      </c>
      <c r="D282" s="35" t="n">
        <v>50</v>
      </c>
      <c r="E282" s="35" t="n">
        <v>5</v>
      </c>
      <c r="F282" s="35" t="n">
        <v>2</v>
      </c>
      <c r="G282" s="35" t="n">
        <v>5640</v>
      </c>
      <c r="H282" s="35" t="n">
        <v>526</v>
      </c>
      <c r="I282" s="28" t="str">
        <f aca="false">INDEX(Campaigns!$C$2:$C$31,MATCH(B282,Campaigns!$A$2:$A$31,0))</f>
        <v>Email</v>
      </c>
      <c r="J282" s="40" t="n">
        <f aca="false">DATE(YEAR(A282),MONTH(A282),1)</f>
        <v>46204</v>
      </c>
    </row>
    <row r="283" customFormat="false" ht="15" hidden="false" customHeight="false" outlineLevel="0" collapsed="false">
      <c r="A283" s="34" t="n">
        <v>46233</v>
      </c>
      <c r="B283" s="28" t="s">
        <v>105</v>
      </c>
      <c r="C283" s="35" t="n">
        <v>5349</v>
      </c>
      <c r="D283" s="35" t="n">
        <v>217</v>
      </c>
      <c r="E283" s="35" t="n">
        <v>3</v>
      </c>
      <c r="F283" s="35" t="n">
        <v>3</v>
      </c>
      <c r="G283" s="35" t="n">
        <v>9710</v>
      </c>
      <c r="H283" s="35" t="n">
        <v>4500</v>
      </c>
      <c r="I283" s="28" t="str">
        <f aca="false">INDEX(Campaigns!$C$2:$C$31,MATCH(B283,Campaigns!$A$2:$A$31,0))</f>
        <v>Google Search Ads</v>
      </c>
      <c r="J283" s="40" t="n">
        <f aca="false">DATE(YEAR(A283),MONTH(A283),1)</f>
        <v>46204</v>
      </c>
    </row>
    <row r="284" customFormat="false" ht="15" hidden="false" customHeight="false" outlineLevel="0" collapsed="false">
      <c r="A284" s="34" t="n">
        <v>46233</v>
      </c>
      <c r="B284" s="28" t="s">
        <v>108</v>
      </c>
      <c r="C284" s="35" t="n">
        <v>6204</v>
      </c>
      <c r="D284" s="35" t="n">
        <v>200</v>
      </c>
      <c r="E284" s="35" t="n">
        <v>3</v>
      </c>
      <c r="F284" s="35" t="n">
        <v>11</v>
      </c>
      <c r="G284" s="35" t="n">
        <v>32140</v>
      </c>
      <c r="H284" s="35" t="n">
        <v>2355</v>
      </c>
      <c r="I284" s="28" t="str">
        <f aca="false">INDEX(Campaigns!$C$2:$C$31,MATCH(B284,Campaigns!$A$2:$A$31,0))</f>
        <v>Email</v>
      </c>
      <c r="J284" s="40" t="n">
        <f aca="false">DATE(YEAR(A284),MONTH(A284),1)</f>
        <v>46204</v>
      </c>
    </row>
    <row r="285" customFormat="false" ht="15" hidden="false" customHeight="false" outlineLevel="0" collapsed="false">
      <c r="A285" s="34" t="n">
        <v>46233</v>
      </c>
      <c r="B285" s="28" t="s">
        <v>112</v>
      </c>
      <c r="C285" s="35" t="n">
        <v>1311</v>
      </c>
      <c r="D285" s="35" t="n">
        <v>70</v>
      </c>
      <c r="E285" s="35" t="n">
        <v>5</v>
      </c>
      <c r="F285" s="35" t="n">
        <v>2</v>
      </c>
      <c r="G285" s="35" t="n">
        <v>4560</v>
      </c>
      <c r="H285" s="35" t="n">
        <v>1682</v>
      </c>
      <c r="I285" s="28" t="str">
        <f aca="false">INDEX(Campaigns!$C$2:$C$31,MATCH(B285,Campaigns!$A$2:$A$31,0))</f>
        <v>WhatsApp Broadcast</v>
      </c>
      <c r="J285" s="40" t="n">
        <f aca="false">DATE(YEAR(A285),MONTH(A285),1)</f>
        <v>46204</v>
      </c>
    </row>
    <row r="286" customFormat="false" ht="15" hidden="false" customHeight="false" outlineLevel="0" collapsed="false">
      <c r="A286" s="34" t="n">
        <v>46233</v>
      </c>
      <c r="B286" s="28" t="s">
        <v>114</v>
      </c>
      <c r="C286" s="35" t="n">
        <v>601</v>
      </c>
      <c r="D286" s="35" t="n">
        <v>27</v>
      </c>
      <c r="E286" s="35" t="n">
        <v>1</v>
      </c>
      <c r="F286" s="35" t="n">
        <v>3</v>
      </c>
      <c r="G286" s="35" t="n">
        <v>11060</v>
      </c>
      <c r="H286" s="35" t="n">
        <v>934</v>
      </c>
      <c r="I286" s="28" t="str">
        <f aca="false">INDEX(Campaigns!$C$2:$C$31,MATCH(B286,Campaigns!$A$2:$A$31,0))</f>
        <v>WhatsApp Broadcast</v>
      </c>
      <c r="J286" s="40" t="n">
        <f aca="false">DATE(YEAR(A286),MONTH(A286),1)</f>
        <v>46204</v>
      </c>
    </row>
    <row r="287" customFormat="false" ht="15" hidden="false" customHeight="false" outlineLevel="0" collapsed="false">
      <c r="A287" s="34" t="n">
        <v>46233</v>
      </c>
      <c r="B287" s="28" t="s">
        <v>120</v>
      </c>
      <c r="C287" s="35" t="n">
        <v>83843</v>
      </c>
      <c r="D287" s="35" t="n">
        <v>627</v>
      </c>
      <c r="E287" s="35" t="n">
        <v>23</v>
      </c>
      <c r="F287" s="35" t="n">
        <v>2</v>
      </c>
      <c r="G287" s="35" t="n">
        <v>4990</v>
      </c>
      <c r="H287" s="35" t="n">
        <v>14107</v>
      </c>
      <c r="I287" s="28" t="str">
        <f aca="false">INDEX(Campaigns!$C$2:$C$31,MATCH(B287,Campaigns!$A$2:$A$31,0))</f>
        <v>TikTok Ads</v>
      </c>
      <c r="J287" s="40" t="n">
        <f aca="false">DATE(YEAR(A287),MONTH(A287),1)</f>
        <v>46204</v>
      </c>
    </row>
    <row r="288" customFormat="false" ht="15" hidden="false" customHeight="false" outlineLevel="0" collapsed="false">
      <c r="A288" s="34" t="n">
        <v>46233</v>
      </c>
      <c r="B288" s="28" t="s">
        <v>122</v>
      </c>
      <c r="C288" s="35" t="n">
        <v>108858</v>
      </c>
      <c r="D288" s="35" t="n">
        <v>919</v>
      </c>
      <c r="E288" s="35" t="n">
        <v>50</v>
      </c>
      <c r="F288" s="35" t="n">
        <v>7</v>
      </c>
      <c r="G288" s="35" t="n">
        <v>17260</v>
      </c>
      <c r="H288" s="35" t="n">
        <v>20494</v>
      </c>
      <c r="I288" s="28" t="str">
        <f aca="false">INDEX(Campaigns!$C$2:$C$31,MATCH(B288,Campaigns!$A$2:$A$31,0))</f>
        <v>TikTok Ads</v>
      </c>
      <c r="J288" s="40" t="n">
        <f aca="false">DATE(YEAR(A288),MONTH(A288),1)</f>
        <v>46204</v>
      </c>
    </row>
    <row r="289" customFormat="false" ht="15" hidden="false" customHeight="false" outlineLevel="0" collapsed="false">
      <c r="A289" s="34" t="n">
        <v>46233</v>
      </c>
      <c r="B289" s="28" t="s">
        <v>124</v>
      </c>
      <c r="C289" s="35" t="n">
        <v>8648</v>
      </c>
      <c r="D289" s="35" t="n">
        <v>192</v>
      </c>
      <c r="E289" s="35" t="n">
        <v>5</v>
      </c>
      <c r="F289" s="35" t="n">
        <v>4</v>
      </c>
      <c r="G289" s="35" t="n">
        <v>13340</v>
      </c>
      <c r="H289" s="35" t="n">
        <v>2886</v>
      </c>
      <c r="I289" s="28" t="str">
        <f aca="false">INDEX(Campaigns!$C$2:$C$31,MATCH(B289,Campaigns!$A$2:$A$31,0))</f>
        <v>Email</v>
      </c>
      <c r="J289" s="40" t="n">
        <f aca="false">DATE(YEAR(A289),MONTH(A289),1)</f>
        <v>46204</v>
      </c>
    </row>
    <row r="290" customFormat="false" ht="15" hidden="false" customHeight="false" outlineLevel="0" collapsed="false">
      <c r="A290" s="34" t="n">
        <v>46233</v>
      </c>
      <c r="B290" s="28" t="s">
        <v>126</v>
      </c>
      <c r="C290" s="35" t="n">
        <v>13466</v>
      </c>
      <c r="D290" s="35" t="n">
        <v>84</v>
      </c>
      <c r="E290" s="35" t="n">
        <v>2</v>
      </c>
      <c r="F290" s="35" t="n">
        <v>0</v>
      </c>
      <c r="G290" s="35" t="n">
        <v>0</v>
      </c>
      <c r="H290" s="35" t="n">
        <v>2465</v>
      </c>
      <c r="I290" s="28" t="str">
        <f aca="false">INDEX(Campaigns!$C$2:$C$31,MATCH(B290,Campaigns!$A$2:$A$31,0))</f>
        <v>TikTok Ads</v>
      </c>
      <c r="J290" s="40" t="n">
        <f aca="false">DATE(YEAR(A290),MONTH(A290),1)</f>
        <v>46204</v>
      </c>
    </row>
    <row r="291" customFormat="false" ht="15" hidden="false" customHeight="false" outlineLevel="0" collapsed="false">
      <c r="A291" s="34" t="n">
        <v>46233</v>
      </c>
      <c r="B291" s="28" t="s">
        <v>128</v>
      </c>
      <c r="C291" s="35" t="n">
        <v>25651</v>
      </c>
      <c r="D291" s="35" t="n">
        <v>1442</v>
      </c>
      <c r="E291" s="35" t="n">
        <v>63</v>
      </c>
      <c r="F291" s="35" t="n">
        <v>94</v>
      </c>
      <c r="G291" s="35" t="n">
        <v>355880</v>
      </c>
      <c r="H291" s="35" t="n">
        <v>21656</v>
      </c>
      <c r="I291" s="28" t="str">
        <f aca="false">INDEX(Campaigns!$C$2:$C$31,MATCH(B291,Campaigns!$A$2:$A$31,0))</f>
        <v>Google Search Ads</v>
      </c>
      <c r="J291" s="40" t="n">
        <f aca="false">DATE(YEAR(A291),MONTH(A291),1)</f>
        <v>46204</v>
      </c>
    </row>
    <row r="292" customFormat="false" ht="15" hidden="false" customHeight="false" outlineLevel="0" collapsed="false">
      <c r="A292" s="34" t="n">
        <v>46233</v>
      </c>
      <c r="B292" s="28" t="s">
        <v>134</v>
      </c>
      <c r="C292" s="35" t="n">
        <v>2709</v>
      </c>
      <c r="D292" s="35" t="n">
        <v>164</v>
      </c>
      <c r="E292" s="35" t="n">
        <v>8</v>
      </c>
      <c r="F292" s="35" t="n">
        <v>8</v>
      </c>
      <c r="G292" s="35" t="n">
        <v>21150</v>
      </c>
      <c r="H292" s="35" t="n">
        <v>3701</v>
      </c>
      <c r="I292" s="28" t="str">
        <f aca="false">INDEX(Campaigns!$C$2:$C$31,MATCH(B292,Campaigns!$A$2:$A$31,0))</f>
        <v>WhatsApp Broadcast</v>
      </c>
      <c r="J292" s="40" t="n">
        <f aca="false">DATE(YEAR(A292),MONTH(A292),1)</f>
        <v>46204</v>
      </c>
    </row>
    <row r="293" customFormat="false" ht="15" hidden="false" customHeight="false" outlineLevel="0" collapsed="false">
      <c r="A293" s="34" t="n">
        <v>46233</v>
      </c>
      <c r="B293" s="28" t="s">
        <v>136</v>
      </c>
      <c r="C293" s="35" t="n">
        <v>10694</v>
      </c>
      <c r="D293" s="35" t="n">
        <v>314</v>
      </c>
      <c r="E293" s="35" t="n">
        <v>7</v>
      </c>
      <c r="F293" s="35" t="n">
        <v>7</v>
      </c>
      <c r="G293" s="35" t="n">
        <v>19380</v>
      </c>
      <c r="H293" s="35" t="n">
        <v>3638</v>
      </c>
      <c r="I293" s="28" t="str">
        <f aca="false">INDEX(Campaigns!$C$2:$C$31,MATCH(B293,Campaigns!$A$2:$A$31,0))</f>
        <v>Email</v>
      </c>
      <c r="J293" s="40" t="n">
        <f aca="false">DATE(YEAR(A293),MONTH(A293),1)</f>
        <v>46204</v>
      </c>
    </row>
    <row r="294" customFormat="false" ht="15" hidden="false" customHeight="false" outlineLevel="0" collapsed="false">
      <c r="A294" s="34" t="n">
        <v>46233</v>
      </c>
      <c r="B294" s="28" t="s">
        <v>139</v>
      </c>
      <c r="C294" s="35" t="n">
        <v>18593</v>
      </c>
      <c r="D294" s="35" t="n">
        <v>206</v>
      </c>
      <c r="E294" s="35" t="n">
        <v>12</v>
      </c>
      <c r="F294" s="35" t="n">
        <v>3</v>
      </c>
      <c r="G294" s="35" t="n">
        <v>9790</v>
      </c>
      <c r="H294" s="35" t="n">
        <v>3109</v>
      </c>
      <c r="I294" s="28" t="str">
        <f aca="false">INDEX(Campaigns!$C$2:$C$31,MATCH(B294,Campaigns!$A$2:$A$31,0))</f>
        <v>TikTok Ads</v>
      </c>
      <c r="J294" s="40" t="n">
        <f aca="false">DATE(YEAR(A294),MONTH(A294),1)</f>
        <v>46204</v>
      </c>
    </row>
    <row r="295" customFormat="false" ht="15" hidden="false" customHeight="false" outlineLevel="0" collapsed="false">
      <c r="A295" s="34" t="n">
        <v>46233</v>
      </c>
      <c r="B295" s="28" t="s">
        <v>141</v>
      </c>
      <c r="C295" s="35" t="n">
        <v>6708</v>
      </c>
      <c r="D295" s="35" t="n">
        <v>220</v>
      </c>
      <c r="E295" s="35" t="n">
        <v>14</v>
      </c>
      <c r="F295" s="35" t="n">
        <v>8</v>
      </c>
      <c r="G295" s="35" t="n">
        <v>23100</v>
      </c>
      <c r="H295" s="35" t="n">
        <v>2433</v>
      </c>
      <c r="I295" s="28" t="str">
        <f aca="false">INDEX(Campaigns!$C$2:$C$31,MATCH(B295,Campaigns!$A$2:$A$31,0))</f>
        <v>Email</v>
      </c>
      <c r="J295" s="40" t="n">
        <f aca="false">DATE(YEAR(A295),MONTH(A295),1)</f>
        <v>46204</v>
      </c>
    </row>
    <row r="296" customFormat="false" ht="15" hidden="false" customHeight="false" outlineLevel="0" collapsed="false">
      <c r="A296" s="34" t="n">
        <v>46233</v>
      </c>
      <c r="B296" s="28" t="s">
        <v>145</v>
      </c>
      <c r="C296" s="35" t="n">
        <v>8125</v>
      </c>
      <c r="D296" s="35" t="n">
        <v>378</v>
      </c>
      <c r="E296" s="35" t="n">
        <v>16</v>
      </c>
      <c r="F296" s="35" t="n">
        <v>13</v>
      </c>
      <c r="G296" s="35" t="n">
        <v>43370</v>
      </c>
      <c r="H296" s="35" t="n">
        <v>7799</v>
      </c>
      <c r="I296" s="28" t="str">
        <f aca="false">INDEX(Campaigns!$C$2:$C$31,MATCH(B296,Campaigns!$A$2:$A$31,0))</f>
        <v>Google Search Ads</v>
      </c>
      <c r="J296" s="40" t="n">
        <f aca="false">DATE(YEAR(A296),MONTH(A296),1)</f>
        <v>46204</v>
      </c>
    </row>
    <row r="297" customFormat="false" ht="15" hidden="false" customHeight="false" outlineLevel="0" collapsed="false">
      <c r="A297" s="34" t="n">
        <v>46233</v>
      </c>
      <c r="B297" s="28" t="s">
        <v>147</v>
      </c>
      <c r="C297" s="35" t="n">
        <v>26854</v>
      </c>
      <c r="D297" s="35" t="n">
        <v>373</v>
      </c>
      <c r="E297" s="35" t="n">
        <v>5</v>
      </c>
      <c r="F297" s="35" t="n">
        <v>0</v>
      </c>
      <c r="G297" s="35" t="n">
        <v>0</v>
      </c>
      <c r="H297" s="35" t="n">
        <v>6370</v>
      </c>
      <c r="I297" s="28" t="str">
        <f aca="false">INDEX(Campaigns!$C$2:$C$31,MATCH(B297,Campaigns!$A$2:$A$31,0))</f>
        <v>Facebook &amp; Instagram Ads</v>
      </c>
      <c r="J297" s="40" t="n">
        <f aca="false">DATE(YEAR(A297),MONTH(A297),1)</f>
        <v>46204</v>
      </c>
    </row>
    <row r="298" customFormat="false" ht="15" hidden="false" customHeight="false" outlineLevel="0" collapsed="false">
      <c r="A298" s="34" t="n">
        <v>46233</v>
      </c>
      <c r="B298" s="28" t="s">
        <v>154</v>
      </c>
      <c r="C298" s="35" t="n">
        <v>5726</v>
      </c>
      <c r="D298" s="35" t="n">
        <v>52</v>
      </c>
      <c r="E298" s="35" t="n">
        <v>3</v>
      </c>
      <c r="F298" s="35" t="n">
        <v>1</v>
      </c>
      <c r="G298" s="35" t="n">
        <v>3460</v>
      </c>
      <c r="H298" s="35" t="n">
        <v>3764</v>
      </c>
      <c r="I298" s="28" t="str">
        <f aca="false">INDEX(Campaigns!$C$2:$C$31,MATCH(B298,Campaigns!$A$2:$A$31,0))</f>
        <v>Influencer Partnerships</v>
      </c>
      <c r="J298" s="40" t="n">
        <f aca="false">DATE(YEAR(A298),MONTH(A298),1)</f>
        <v>46204</v>
      </c>
    </row>
    <row r="299" customFormat="false" ht="15" hidden="false" customHeight="false" outlineLevel="0" collapsed="false">
      <c r="A299" s="34" t="n">
        <v>46233</v>
      </c>
      <c r="B299" s="28" t="s">
        <v>156</v>
      </c>
      <c r="C299" s="35" t="n">
        <v>45758</v>
      </c>
      <c r="D299" s="35" t="n">
        <v>424</v>
      </c>
      <c r="E299" s="35" t="n">
        <v>55</v>
      </c>
      <c r="F299" s="35" t="n">
        <v>8</v>
      </c>
      <c r="G299" s="35" t="n">
        <v>20710</v>
      </c>
      <c r="H299" s="35" t="n">
        <v>7958</v>
      </c>
      <c r="I299" s="28" t="str">
        <f aca="false">INDEX(Campaigns!$C$2:$C$31,MATCH(B299,Campaigns!$A$2:$A$31,0))</f>
        <v>TikTok Ads</v>
      </c>
      <c r="J299" s="40" t="n">
        <f aca="false">DATE(YEAR(A299),MONTH(A299),1)</f>
        <v>46204</v>
      </c>
    </row>
    <row r="300" customFormat="false" ht="15" hidden="false" customHeight="false" outlineLevel="0" collapsed="false">
      <c r="A300" s="34" t="n">
        <v>46233</v>
      </c>
      <c r="B300" s="28" t="s">
        <v>159</v>
      </c>
      <c r="C300" s="35" t="n">
        <v>25788</v>
      </c>
      <c r="D300" s="35" t="n">
        <v>386</v>
      </c>
      <c r="E300" s="35" t="n">
        <v>53</v>
      </c>
      <c r="F300" s="35" t="n">
        <v>7</v>
      </c>
      <c r="G300" s="35" t="n">
        <v>23250</v>
      </c>
      <c r="H300" s="35" t="n">
        <v>5886</v>
      </c>
      <c r="I300" s="28" t="str">
        <f aca="false">INDEX(Campaigns!$C$2:$C$31,MATCH(B300,Campaigns!$A$2:$A$31,0))</f>
        <v>Facebook &amp; Instagram Ads</v>
      </c>
      <c r="J300" s="40" t="n">
        <f aca="false">DATE(YEAR(A300),MONTH(A300),1)</f>
        <v>46204</v>
      </c>
    </row>
    <row r="301" customFormat="false" ht="15" hidden="false" customHeight="false" outlineLevel="0" collapsed="false">
      <c r="A301" s="34" t="n">
        <v>46233</v>
      </c>
      <c r="B301" s="28" t="s">
        <v>163</v>
      </c>
      <c r="C301" s="35" t="n">
        <v>1504</v>
      </c>
      <c r="D301" s="35" t="n">
        <v>38</v>
      </c>
      <c r="E301" s="35" t="n">
        <v>5</v>
      </c>
      <c r="F301" s="35" t="n">
        <v>1</v>
      </c>
      <c r="G301" s="35" t="n">
        <v>2950</v>
      </c>
      <c r="H301" s="35" t="n">
        <v>539</v>
      </c>
      <c r="I301" s="28" t="str">
        <f aca="false">INDEX(Campaigns!$C$2:$C$31,MATCH(B301,Campaigns!$A$2:$A$31,0))</f>
        <v>Email</v>
      </c>
      <c r="J301" s="40" t="n">
        <f aca="false">DATE(YEAR(A301),MONTH(A301),1)</f>
        <v>46204</v>
      </c>
    </row>
    <row r="302" customFormat="false" ht="15" hidden="false" customHeight="false" outlineLevel="0" collapsed="false">
      <c r="A302" s="34" t="n">
        <v>46234</v>
      </c>
      <c r="B302" s="28" t="s">
        <v>105</v>
      </c>
      <c r="C302" s="35" t="n">
        <v>5361</v>
      </c>
      <c r="D302" s="35" t="n">
        <v>198</v>
      </c>
      <c r="E302" s="35" t="n">
        <v>9</v>
      </c>
      <c r="F302" s="35" t="n">
        <v>10</v>
      </c>
      <c r="G302" s="35" t="n">
        <v>38250</v>
      </c>
      <c r="H302" s="35" t="n">
        <v>4773</v>
      </c>
      <c r="I302" s="28" t="str">
        <f aca="false">INDEX(Campaigns!$C$2:$C$31,MATCH(B302,Campaigns!$A$2:$A$31,0))</f>
        <v>Google Search Ads</v>
      </c>
      <c r="J302" s="40" t="n">
        <f aca="false">DATE(YEAR(A302),MONTH(A302),1)</f>
        <v>46204</v>
      </c>
    </row>
    <row r="303" customFormat="false" ht="15" hidden="false" customHeight="false" outlineLevel="0" collapsed="false">
      <c r="A303" s="34" t="n">
        <v>46234</v>
      </c>
      <c r="B303" s="28" t="s">
        <v>108</v>
      </c>
      <c r="C303" s="35" t="n">
        <v>6081</v>
      </c>
      <c r="D303" s="35" t="n">
        <v>218</v>
      </c>
      <c r="E303" s="35" t="n">
        <v>10</v>
      </c>
      <c r="F303" s="35" t="n">
        <v>11</v>
      </c>
      <c r="G303" s="35" t="n">
        <v>31140</v>
      </c>
      <c r="H303" s="35" t="n">
        <v>2320</v>
      </c>
      <c r="I303" s="28" t="str">
        <f aca="false">INDEX(Campaigns!$C$2:$C$31,MATCH(B303,Campaigns!$A$2:$A$31,0))</f>
        <v>Email</v>
      </c>
      <c r="J303" s="40" t="n">
        <f aca="false">DATE(YEAR(A303),MONTH(A303),1)</f>
        <v>46204</v>
      </c>
    </row>
    <row r="304" customFormat="false" ht="15" hidden="false" customHeight="false" outlineLevel="0" collapsed="false">
      <c r="A304" s="34" t="n">
        <v>46234</v>
      </c>
      <c r="B304" s="28" t="s">
        <v>112</v>
      </c>
      <c r="C304" s="35" t="n">
        <v>923</v>
      </c>
      <c r="D304" s="35" t="n">
        <v>46</v>
      </c>
      <c r="E304" s="35" t="n">
        <v>1</v>
      </c>
      <c r="F304" s="35" t="n">
        <v>4</v>
      </c>
      <c r="G304" s="35" t="n">
        <v>10620</v>
      </c>
      <c r="H304" s="35" t="n">
        <v>1421</v>
      </c>
      <c r="I304" s="28" t="str">
        <f aca="false">INDEX(Campaigns!$C$2:$C$31,MATCH(B304,Campaigns!$A$2:$A$31,0))</f>
        <v>WhatsApp Broadcast</v>
      </c>
      <c r="J304" s="40" t="n">
        <f aca="false">DATE(YEAR(A304),MONTH(A304),1)</f>
        <v>46204</v>
      </c>
    </row>
    <row r="305" customFormat="false" ht="15" hidden="false" customHeight="false" outlineLevel="0" collapsed="false">
      <c r="A305" s="34" t="n">
        <v>46234</v>
      </c>
      <c r="B305" s="28" t="s">
        <v>114</v>
      </c>
      <c r="C305" s="35" t="n">
        <v>904</v>
      </c>
      <c r="D305" s="35" t="n">
        <v>43</v>
      </c>
      <c r="E305" s="35" t="n">
        <v>2</v>
      </c>
      <c r="F305" s="35" t="n">
        <v>4</v>
      </c>
      <c r="G305" s="35" t="n">
        <v>10930</v>
      </c>
      <c r="H305" s="35" t="n">
        <v>1153</v>
      </c>
      <c r="I305" s="28" t="str">
        <f aca="false">INDEX(Campaigns!$C$2:$C$31,MATCH(B305,Campaigns!$A$2:$A$31,0))</f>
        <v>WhatsApp Broadcast</v>
      </c>
      <c r="J305" s="40" t="n">
        <f aca="false">DATE(YEAR(A305),MONTH(A305),1)</f>
        <v>46204</v>
      </c>
    </row>
    <row r="306" customFormat="false" ht="15" hidden="false" customHeight="false" outlineLevel="0" collapsed="false">
      <c r="A306" s="34" t="n">
        <v>46234</v>
      </c>
      <c r="B306" s="28" t="s">
        <v>116</v>
      </c>
      <c r="C306" s="35" t="n">
        <v>20408</v>
      </c>
      <c r="D306" s="35" t="n">
        <v>238</v>
      </c>
      <c r="E306" s="35" t="n">
        <v>11</v>
      </c>
      <c r="F306" s="35" t="n">
        <v>1</v>
      </c>
      <c r="G306" s="35" t="n">
        <v>3350</v>
      </c>
      <c r="H306" s="35" t="n">
        <v>5668</v>
      </c>
      <c r="I306" s="28" t="str">
        <f aca="false">INDEX(Campaigns!$C$2:$C$31,MATCH(B306,Campaigns!$A$2:$A$31,0))</f>
        <v>Facebook &amp; Instagram Ads</v>
      </c>
      <c r="J306" s="40" t="n">
        <f aca="false">DATE(YEAR(A306),MONTH(A306),1)</f>
        <v>46204</v>
      </c>
    </row>
    <row r="307" customFormat="false" ht="15" hidden="false" customHeight="false" outlineLevel="0" collapsed="false">
      <c r="A307" s="34" t="n">
        <v>46234</v>
      </c>
      <c r="B307" s="28" t="s">
        <v>118</v>
      </c>
      <c r="C307" s="35" t="n">
        <v>2825</v>
      </c>
      <c r="D307" s="35" t="n">
        <v>153</v>
      </c>
      <c r="E307" s="35" t="n">
        <v>0</v>
      </c>
      <c r="F307" s="35" t="n">
        <v>7</v>
      </c>
      <c r="G307" s="35" t="n">
        <v>27200</v>
      </c>
      <c r="H307" s="35" t="n">
        <v>2407</v>
      </c>
      <c r="I307" s="28" t="str">
        <f aca="false">INDEX(Campaigns!$C$2:$C$31,MATCH(B307,Campaigns!$A$2:$A$31,0))</f>
        <v>Google Search Ads</v>
      </c>
      <c r="J307" s="40" t="n">
        <f aca="false">DATE(YEAR(A307),MONTH(A307),1)</f>
        <v>46204</v>
      </c>
    </row>
    <row r="308" customFormat="false" ht="15" hidden="false" customHeight="false" outlineLevel="0" collapsed="false">
      <c r="A308" s="34" t="n">
        <v>46234</v>
      </c>
      <c r="B308" s="28" t="s">
        <v>120</v>
      </c>
      <c r="C308" s="35" t="n">
        <v>98091</v>
      </c>
      <c r="D308" s="35" t="n">
        <v>789</v>
      </c>
      <c r="E308" s="35" t="n">
        <v>34</v>
      </c>
      <c r="F308" s="35" t="n">
        <v>6</v>
      </c>
      <c r="G308" s="35" t="n">
        <v>16400</v>
      </c>
      <c r="H308" s="35" t="n">
        <v>17289</v>
      </c>
      <c r="I308" s="28" t="str">
        <f aca="false">INDEX(Campaigns!$C$2:$C$31,MATCH(B308,Campaigns!$A$2:$A$31,0))</f>
        <v>TikTok Ads</v>
      </c>
      <c r="J308" s="40" t="n">
        <f aca="false">DATE(YEAR(A308),MONTH(A308),1)</f>
        <v>46204</v>
      </c>
    </row>
    <row r="309" customFormat="false" ht="15" hidden="false" customHeight="false" outlineLevel="0" collapsed="false">
      <c r="A309" s="34" t="n">
        <v>46234</v>
      </c>
      <c r="B309" s="28" t="s">
        <v>122</v>
      </c>
      <c r="C309" s="35" t="n">
        <v>154759</v>
      </c>
      <c r="D309" s="35" t="n">
        <v>1253</v>
      </c>
      <c r="E309" s="35" t="n">
        <v>51</v>
      </c>
      <c r="F309" s="35" t="n">
        <v>5</v>
      </c>
      <c r="G309" s="35" t="n">
        <v>13430</v>
      </c>
      <c r="H309" s="35" t="n">
        <v>28258</v>
      </c>
      <c r="I309" s="28" t="str">
        <f aca="false">INDEX(Campaigns!$C$2:$C$31,MATCH(B309,Campaigns!$A$2:$A$31,0))</f>
        <v>TikTok Ads</v>
      </c>
      <c r="J309" s="40" t="n">
        <f aca="false">DATE(YEAR(A309),MONTH(A309),1)</f>
        <v>46204</v>
      </c>
    </row>
    <row r="310" customFormat="false" ht="15" hidden="false" customHeight="false" outlineLevel="0" collapsed="false">
      <c r="A310" s="34" t="n">
        <v>46234</v>
      </c>
      <c r="B310" s="28" t="s">
        <v>124</v>
      </c>
      <c r="C310" s="35" t="n">
        <v>7920</v>
      </c>
      <c r="D310" s="35" t="n">
        <v>173</v>
      </c>
      <c r="E310" s="35" t="n">
        <v>7</v>
      </c>
      <c r="F310" s="35" t="n">
        <v>3</v>
      </c>
      <c r="G310" s="35" t="n">
        <v>7620</v>
      </c>
      <c r="H310" s="35" t="n">
        <v>3002</v>
      </c>
      <c r="I310" s="28" t="str">
        <f aca="false">INDEX(Campaigns!$C$2:$C$31,MATCH(B310,Campaigns!$A$2:$A$31,0))</f>
        <v>Email</v>
      </c>
      <c r="J310" s="40" t="n">
        <f aca="false">DATE(YEAR(A310),MONTH(A310),1)</f>
        <v>46204</v>
      </c>
    </row>
    <row r="311" customFormat="false" ht="15" hidden="false" customHeight="false" outlineLevel="0" collapsed="false">
      <c r="A311" s="34" t="n">
        <v>46234</v>
      </c>
      <c r="B311" s="28" t="s">
        <v>126</v>
      </c>
      <c r="C311" s="35" t="n">
        <v>19533</v>
      </c>
      <c r="D311" s="35" t="n">
        <v>135</v>
      </c>
      <c r="E311" s="35" t="n">
        <v>3</v>
      </c>
      <c r="F311" s="35" t="n">
        <v>1</v>
      </c>
      <c r="G311" s="35" t="n">
        <v>1730</v>
      </c>
      <c r="H311" s="35" t="n">
        <v>3241</v>
      </c>
      <c r="I311" s="28" t="str">
        <f aca="false">INDEX(Campaigns!$C$2:$C$31,MATCH(B311,Campaigns!$A$2:$A$31,0))</f>
        <v>TikTok Ads</v>
      </c>
      <c r="J311" s="40" t="n">
        <f aca="false">DATE(YEAR(A311),MONTH(A311),1)</f>
        <v>46204</v>
      </c>
    </row>
    <row r="312" customFormat="false" ht="15" hidden="false" customHeight="false" outlineLevel="0" collapsed="false">
      <c r="A312" s="34" t="n">
        <v>46234</v>
      </c>
      <c r="B312" s="28" t="s">
        <v>128</v>
      </c>
      <c r="C312" s="35" t="n">
        <v>31563</v>
      </c>
      <c r="D312" s="35" t="n">
        <v>1824</v>
      </c>
      <c r="E312" s="35" t="n">
        <v>89</v>
      </c>
      <c r="F312" s="35" t="n">
        <v>103</v>
      </c>
      <c r="G312" s="35" t="n">
        <v>368730</v>
      </c>
      <c r="H312" s="35" t="n">
        <v>28027</v>
      </c>
      <c r="I312" s="28" t="str">
        <f aca="false">INDEX(Campaigns!$C$2:$C$31,MATCH(B312,Campaigns!$A$2:$A$31,0))</f>
        <v>Google Search Ads</v>
      </c>
      <c r="J312" s="40" t="n">
        <f aca="false">DATE(YEAR(A312),MONTH(A312),1)</f>
        <v>46204</v>
      </c>
    </row>
    <row r="313" customFormat="false" ht="15" hidden="false" customHeight="false" outlineLevel="0" collapsed="false">
      <c r="A313" s="34" t="n">
        <v>46234</v>
      </c>
      <c r="B313" s="28" t="s">
        <v>136</v>
      </c>
      <c r="C313" s="35" t="n">
        <v>11053</v>
      </c>
      <c r="D313" s="35" t="n">
        <v>322</v>
      </c>
      <c r="E313" s="35" t="n">
        <v>15</v>
      </c>
      <c r="F313" s="35" t="n">
        <v>7</v>
      </c>
      <c r="G313" s="35" t="n">
        <v>22400</v>
      </c>
      <c r="H313" s="35" t="n">
        <v>3849</v>
      </c>
      <c r="I313" s="28" t="str">
        <f aca="false">INDEX(Campaigns!$C$2:$C$31,MATCH(B313,Campaigns!$A$2:$A$31,0))</f>
        <v>Email</v>
      </c>
      <c r="J313" s="40" t="n">
        <f aca="false">DATE(YEAR(A313),MONTH(A313),1)</f>
        <v>46204</v>
      </c>
    </row>
    <row r="314" customFormat="false" ht="15" hidden="false" customHeight="false" outlineLevel="0" collapsed="false">
      <c r="A314" s="34" t="n">
        <v>46234</v>
      </c>
      <c r="B314" s="28" t="s">
        <v>139</v>
      </c>
      <c r="C314" s="35" t="n">
        <v>17657</v>
      </c>
      <c r="D314" s="35" t="n">
        <v>164</v>
      </c>
      <c r="E314" s="35" t="n">
        <v>9</v>
      </c>
      <c r="F314" s="35" t="n">
        <v>5</v>
      </c>
      <c r="G314" s="35" t="n">
        <v>14950</v>
      </c>
      <c r="H314" s="35" t="n">
        <v>3503</v>
      </c>
      <c r="I314" s="28" t="str">
        <f aca="false">INDEX(Campaigns!$C$2:$C$31,MATCH(B314,Campaigns!$A$2:$A$31,0))</f>
        <v>TikTok Ads</v>
      </c>
      <c r="J314" s="40" t="n">
        <f aca="false">DATE(YEAR(A314),MONTH(A314),1)</f>
        <v>46204</v>
      </c>
    </row>
    <row r="315" customFormat="false" ht="15" hidden="false" customHeight="false" outlineLevel="0" collapsed="false">
      <c r="A315" s="34" t="n">
        <v>46234</v>
      </c>
      <c r="B315" s="28" t="s">
        <v>141</v>
      </c>
      <c r="C315" s="35" t="n">
        <v>7455</v>
      </c>
      <c r="D315" s="35" t="n">
        <v>259</v>
      </c>
      <c r="E315" s="35" t="n">
        <v>11</v>
      </c>
      <c r="F315" s="35" t="n">
        <v>11</v>
      </c>
      <c r="G315" s="35" t="n">
        <v>34840</v>
      </c>
      <c r="H315" s="35" t="n">
        <v>2381</v>
      </c>
      <c r="I315" s="28" t="str">
        <f aca="false">INDEX(Campaigns!$C$2:$C$31,MATCH(B315,Campaigns!$A$2:$A$31,0))</f>
        <v>Email</v>
      </c>
      <c r="J315" s="40" t="n">
        <f aca="false">DATE(YEAR(A315),MONTH(A315),1)</f>
        <v>46204</v>
      </c>
    </row>
    <row r="316" customFormat="false" ht="15" hidden="false" customHeight="false" outlineLevel="0" collapsed="false">
      <c r="A316" s="34" t="n">
        <v>46234</v>
      </c>
      <c r="B316" s="28" t="s">
        <v>147</v>
      </c>
      <c r="C316" s="35" t="n">
        <v>22598</v>
      </c>
      <c r="D316" s="35" t="n">
        <v>294</v>
      </c>
      <c r="E316" s="35" t="n">
        <v>9</v>
      </c>
      <c r="F316" s="35" t="n">
        <v>2</v>
      </c>
      <c r="G316" s="35" t="n">
        <v>4450</v>
      </c>
      <c r="H316" s="35" t="n">
        <v>6136</v>
      </c>
      <c r="I316" s="28" t="str">
        <f aca="false">INDEX(Campaigns!$C$2:$C$31,MATCH(B316,Campaigns!$A$2:$A$31,0))</f>
        <v>Facebook &amp; Instagram Ads</v>
      </c>
      <c r="J316" s="40" t="n">
        <f aca="false">DATE(YEAR(A316),MONTH(A316),1)</f>
        <v>46204</v>
      </c>
    </row>
    <row r="317" customFormat="false" ht="15" hidden="false" customHeight="false" outlineLevel="0" collapsed="false">
      <c r="A317" s="34" t="n">
        <v>46234</v>
      </c>
      <c r="B317" s="28" t="s">
        <v>154</v>
      </c>
      <c r="C317" s="35" t="n">
        <v>7812</v>
      </c>
      <c r="D317" s="35" t="n">
        <v>73</v>
      </c>
      <c r="E317" s="35" t="n">
        <v>5</v>
      </c>
      <c r="F317" s="35" t="n">
        <v>2</v>
      </c>
      <c r="G317" s="35" t="n">
        <v>7240</v>
      </c>
      <c r="H317" s="35" t="n">
        <v>4575</v>
      </c>
      <c r="I317" s="28" t="str">
        <f aca="false">INDEX(Campaigns!$C$2:$C$31,MATCH(B317,Campaigns!$A$2:$A$31,0))</f>
        <v>Influencer Partnerships</v>
      </c>
      <c r="J317" s="40" t="n">
        <f aca="false">DATE(YEAR(A317),MONTH(A317),1)</f>
        <v>46204</v>
      </c>
    </row>
    <row r="318" customFormat="false" ht="15" hidden="false" customHeight="false" outlineLevel="0" collapsed="false">
      <c r="A318" s="34" t="n">
        <v>46234</v>
      </c>
      <c r="B318" s="28" t="s">
        <v>159</v>
      </c>
      <c r="C318" s="35" t="n">
        <v>24006</v>
      </c>
      <c r="D318" s="35" t="n">
        <v>351</v>
      </c>
      <c r="E318" s="35" t="n">
        <v>42</v>
      </c>
      <c r="F318" s="35" t="n">
        <v>9</v>
      </c>
      <c r="G318" s="35" t="n">
        <v>29840</v>
      </c>
      <c r="H318" s="35" t="n">
        <v>6359</v>
      </c>
      <c r="I318" s="28" t="str">
        <f aca="false">INDEX(Campaigns!$C$2:$C$31,MATCH(B318,Campaigns!$A$2:$A$31,0))</f>
        <v>Facebook &amp; Instagram Ads</v>
      </c>
      <c r="J318" s="40" t="n">
        <f aca="false">DATE(YEAR(A318),MONTH(A318),1)</f>
        <v>46204</v>
      </c>
    </row>
    <row r="319" customFormat="false" ht="15" hidden="false" customHeight="false" outlineLevel="0" collapsed="false">
      <c r="A319" s="34" t="n">
        <v>46234</v>
      </c>
      <c r="B319" s="28" t="s">
        <v>161</v>
      </c>
      <c r="C319" s="35" t="n">
        <v>43977</v>
      </c>
      <c r="D319" s="35" t="n">
        <v>587</v>
      </c>
      <c r="E319" s="35" t="n">
        <v>8</v>
      </c>
      <c r="F319" s="35" t="n">
        <v>4</v>
      </c>
      <c r="G319" s="35" t="n">
        <v>12040</v>
      </c>
      <c r="H319" s="35" t="n">
        <v>10414</v>
      </c>
      <c r="I319" s="28" t="str">
        <f aca="false">INDEX(Campaigns!$C$2:$C$31,MATCH(B319,Campaigns!$A$2:$A$31,0))</f>
        <v>Facebook &amp; Instagram Ads</v>
      </c>
      <c r="J319" s="40" t="n">
        <f aca="false">DATE(YEAR(A319),MONTH(A319),1)</f>
        <v>46204</v>
      </c>
    </row>
    <row r="320" customFormat="false" ht="15" hidden="false" customHeight="false" outlineLevel="0" collapsed="false">
      <c r="A320" s="34" t="n">
        <v>46234</v>
      </c>
      <c r="B320" s="28" t="s">
        <v>163</v>
      </c>
      <c r="C320" s="35" t="n">
        <v>1633</v>
      </c>
      <c r="D320" s="35" t="n">
        <v>39</v>
      </c>
      <c r="E320" s="35" t="n">
        <v>4</v>
      </c>
      <c r="F320" s="35" t="n">
        <v>2</v>
      </c>
      <c r="G320" s="35" t="n">
        <v>6370</v>
      </c>
      <c r="H320" s="35" t="n">
        <v>526</v>
      </c>
      <c r="I320" s="28" t="str">
        <f aca="false">INDEX(Campaigns!$C$2:$C$31,MATCH(B320,Campaigns!$A$2:$A$31,0))</f>
        <v>Email</v>
      </c>
      <c r="J320" s="40" t="n">
        <f aca="false">DATE(YEAR(A320),MONTH(A320),1)</f>
        <v>46204</v>
      </c>
    </row>
    <row r="321" customFormat="false" ht="15" hidden="false" customHeight="false" outlineLevel="0" collapsed="false">
      <c r="A321" s="34" t="n">
        <v>46235</v>
      </c>
      <c r="B321" s="28" t="s">
        <v>105</v>
      </c>
      <c r="C321" s="35" t="n">
        <v>6331</v>
      </c>
      <c r="D321" s="35" t="n">
        <v>232</v>
      </c>
      <c r="E321" s="35" t="n">
        <v>5</v>
      </c>
      <c r="F321" s="35" t="n">
        <v>6</v>
      </c>
      <c r="G321" s="35" t="n">
        <v>22940</v>
      </c>
      <c r="H321" s="35" t="n">
        <v>5831</v>
      </c>
      <c r="I321" s="28" t="str">
        <f aca="false">INDEX(Campaigns!$C$2:$C$31,MATCH(B321,Campaigns!$A$2:$A$31,0))</f>
        <v>Google Search Ads</v>
      </c>
      <c r="J321" s="40" t="n">
        <f aca="false">DATE(YEAR(A321),MONTH(A321),1)</f>
        <v>46235</v>
      </c>
    </row>
    <row r="322" customFormat="false" ht="15" hidden="false" customHeight="false" outlineLevel="0" collapsed="false">
      <c r="A322" s="34" t="n">
        <v>46235</v>
      </c>
      <c r="B322" s="28" t="s">
        <v>108</v>
      </c>
      <c r="C322" s="35" t="n">
        <v>7493</v>
      </c>
      <c r="D322" s="35" t="n">
        <v>263</v>
      </c>
      <c r="E322" s="35" t="n">
        <v>9</v>
      </c>
      <c r="F322" s="35" t="n">
        <v>9</v>
      </c>
      <c r="G322" s="35" t="n">
        <v>24990</v>
      </c>
      <c r="H322" s="35" t="n">
        <v>2833</v>
      </c>
      <c r="I322" s="28" t="str">
        <f aca="false">INDEX(Campaigns!$C$2:$C$31,MATCH(B322,Campaigns!$A$2:$A$31,0))</f>
        <v>Email</v>
      </c>
      <c r="J322" s="40" t="n">
        <f aca="false">DATE(YEAR(A322),MONTH(A322),1)</f>
        <v>46235</v>
      </c>
    </row>
    <row r="323" customFormat="false" ht="15" hidden="false" customHeight="false" outlineLevel="0" collapsed="false">
      <c r="A323" s="34" t="n">
        <v>46235</v>
      </c>
      <c r="B323" s="28" t="s">
        <v>112</v>
      </c>
      <c r="C323" s="35" t="n">
        <v>1081</v>
      </c>
      <c r="D323" s="35" t="n">
        <v>76</v>
      </c>
      <c r="E323" s="35" t="n">
        <v>2</v>
      </c>
      <c r="F323" s="35" t="n">
        <v>4</v>
      </c>
      <c r="G323" s="35" t="n">
        <v>9810</v>
      </c>
      <c r="H323" s="35" t="n">
        <v>1599</v>
      </c>
      <c r="I323" s="28" t="str">
        <f aca="false">INDEX(Campaigns!$C$2:$C$31,MATCH(B323,Campaigns!$A$2:$A$31,0))</f>
        <v>WhatsApp Broadcast</v>
      </c>
      <c r="J323" s="40" t="n">
        <f aca="false">DATE(YEAR(A323),MONTH(A323),1)</f>
        <v>46235</v>
      </c>
    </row>
    <row r="324" customFormat="false" ht="15" hidden="false" customHeight="false" outlineLevel="0" collapsed="false">
      <c r="A324" s="34" t="n">
        <v>46235</v>
      </c>
      <c r="B324" s="28" t="s">
        <v>114</v>
      </c>
      <c r="C324" s="35" t="n">
        <v>903</v>
      </c>
      <c r="D324" s="35" t="n">
        <v>65</v>
      </c>
      <c r="E324" s="35" t="n">
        <v>2</v>
      </c>
      <c r="F324" s="35" t="n">
        <v>1</v>
      </c>
      <c r="G324" s="35" t="n">
        <v>2020</v>
      </c>
      <c r="H324" s="35" t="n">
        <v>1269</v>
      </c>
      <c r="I324" s="28" t="str">
        <f aca="false">INDEX(Campaigns!$C$2:$C$31,MATCH(B324,Campaigns!$A$2:$A$31,0))</f>
        <v>WhatsApp Broadcast</v>
      </c>
      <c r="J324" s="40" t="n">
        <f aca="false">DATE(YEAR(A324),MONTH(A324),1)</f>
        <v>46235</v>
      </c>
    </row>
    <row r="325" customFormat="false" ht="15" hidden="false" customHeight="false" outlineLevel="0" collapsed="false">
      <c r="A325" s="34" t="n">
        <v>46235</v>
      </c>
      <c r="B325" s="28" t="s">
        <v>116</v>
      </c>
      <c r="C325" s="35" t="n">
        <v>26260</v>
      </c>
      <c r="D325" s="35" t="n">
        <v>329</v>
      </c>
      <c r="E325" s="35" t="n">
        <v>10</v>
      </c>
      <c r="F325" s="35" t="n">
        <v>5</v>
      </c>
      <c r="G325" s="35" t="n">
        <v>14240</v>
      </c>
      <c r="H325" s="35" t="n">
        <v>6403</v>
      </c>
      <c r="I325" s="28" t="str">
        <f aca="false">INDEX(Campaigns!$C$2:$C$31,MATCH(B325,Campaigns!$A$2:$A$31,0))</f>
        <v>Facebook &amp; Instagram Ads</v>
      </c>
      <c r="J325" s="40" t="n">
        <f aca="false">DATE(YEAR(A325),MONTH(A325),1)</f>
        <v>46235</v>
      </c>
    </row>
    <row r="326" customFormat="false" ht="15" hidden="false" customHeight="false" outlineLevel="0" collapsed="false">
      <c r="A326" s="34" t="n">
        <v>46235</v>
      </c>
      <c r="B326" s="28" t="s">
        <v>118</v>
      </c>
      <c r="C326" s="35" t="n">
        <v>2722</v>
      </c>
      <c r="D326" s="35" t="n">
        <v>142</v>
      </c>
      <c r="E326" s="35" t="n">
        <v>10</v>
      </c>
      <c r="F326" s="35" t="n">
        <v>9</v>
      </c>
      <c r="G326" s="35" t="n">
        <v>26850</v>
      </c>
      <c r="H326" s="35" t="n">
        <v>2630</v>
      </c>
      <c r="I326" s="28" t="str">
        <f aca="false">INDEX(Campaigns!$C$2:$C$31,MATCH(B326,Campaigns!$A$2:$A$31,0))</f>
        <v>Google Search Ads</v>
      </c>
      <c r="J326" s="40" t="n">
        <f aca="false">DATE(YEAR(A326),MONTH(A326),1)</f>
        <v>46235</v>
      </c>
    </row>
    <row r="327" customFormat="false" ht="15" hidden="false" customHeight="false" outlineLevel="0" collapsed="false">
      <c r="A327" s="34" t="n">
        <v>46235</v>
      </c>
      <c r="B327" s="28" t="s">
        <v>120</v>
      </c>
      <c r="C327" s="35" t="n">
        <v>98100</v>
      </c>
      <c r="D327" s="35" t="n">
        <v>796</v>
      </c>
      <c r="E327" s="35" t="n">
        <v>34</v>
      </c>
      <c r="F327" s="35" t="n">
        <v>10</v>
      </c>
      <c r="G327" s="35" t="n">
        <v>25880</v>
      </c>
      <c r="H327" s="35" t="n">
        <v>16619</v>
      </c>
      <c r="I327" s="28" t="str">
        <f aca="false">INDEX(Campaigns!$C$2:$C$31,MATCH(B327,Campaigns!$A$2:$A$31,0))</f>
        <v>TikTok Ads</v>
      </c>
      <c r="J327" s="40" t="n">
        <f aca="false">DATE(YEAR(A327),MONTH(A327),1)</f>
        <v>46235</v>
      </c>
    </row>
    <row r="328" customFormat="false" ht="15" hidden="false" customHeight="false" outlineLevel="0" collapsed="false">
      <c r="A328" s="34" t="n">
        <v>46235</v>
      </c>
      <c r="B328" s="28" t="s">
        <v>122</v>
      </c>
      <c r="C328" s="35" t="n">
        <v>169159</v>
      </c>
      <c r="D328" s="35" t="n">
        <v>1370</v>
      </c>
      <c r="E328" s="35" t="n">
        <v>43</v>
      </c>
      <c r="F328" s="35" t="n">
        <v>10</v>
      </c>
      <c r="G328" s="35" t="n">
        <v>23280</v>
      </c>
      <c r="H328" s="35" t="n">
        <v>30186</v>
      </c>
      <c r="I328" s="28" t="str">
        <f aca="false">INDEX(Campaigns!$C$2:$C$31,MATCH(B328,Campaigns!$A$2:$A$31,0))</f>
        <v>TikTok Ads</v>
      </c>
      <c r="J328" s="40" t="n">
        <f aca="false">DATE(YEAR(A328),MONTH(A328),1)</f>
        <v>46235</v>
      </c>
    </row>
    <row r="329" customFormat="false" ht="15" hidden="false" customHeight="false" outlineLevel="0" collapsed="false">
      <c r="A329" s="34" t="n">
        <v>46235</v>
      </c>
      <c r="B329" s="28" t="s">
        <v>124</v>
      </c>
      <c r="C329" s="35" t="n">
        <v>9064</v>
      </c>
      <c r="D329" s="35" t="n">
        <v>211</v>
      </c>
      <c r="E329" s="35" t="n">
        <v>9</v>
      </c>
      <c r="F329" s="35" t="n">
        <v>1</v>
      </c>
      <c r="G329" s="35" t="n">
        <v>3070</v>
      </c>
      <c r="H329" s="35" t="n">
        <v>2909</v>
      </c>
      <c r="I329" s="28" t="str">
        <f aca="false">INDEX(Campaigns!$C$2:$C$31,MATCH(B329,Campaigns!$A$2:$A$31,0))</f>
        <v>Email</v>
      </c>
      <c r="J329" s="40" t="n">
        <f aca="false">DATE(YEAR(A329),MONTH(A329),1)</f>
        <v>46235</v>
      </c>
    </row>
    <row r="330" customFormat="false" ht="15" hidden="false" customHeight="false" outlineLevel="0" collapsed="false">
      <c r="A330" s="34" t="n">
        <v>46235</v>
      </c>
      <c r="B330" s="28" t="s">
        <v>126</v>
      </c>
      <c r="C330" s="35" t="n">
        <v>14928</v>
      </c>
      <c r="D330" s="35" t="n">
        <v>87</v>
      </c>
      <c r="E330" s="35" t="n">
        <v>2</v>
      </c>
      <c r="F330" s="35" t="n">
        <v>0</v>
      </c>
      <c r="G330" s="35" t="n">
        <v>0</v>
      </c>
      <c r="H330" s="35" t="n">
        <v>2625</v>
      </c>
      <c r="I330" s="28" t="str">
        <f aca="false">INDEX(Campaigns!$C$2:$C$31,MATCH(B330,Campaigns!$A$2:$A$31,0))</f>
        <v>TikTok Ads</v>
      </c>
      <c r="J330" s="40" t="n">
        <f aca="false">DATE(YEAR(A330),MONTH(A330),1)</f>
        <v>46235</v>
      </c>
    </row>
    <row r="331" customFormat="false" ht="15" hidden="false" customHeight="false" outlineLevel="0" collapsed="false">
      <c r="A331" s="34" t="n">
        <v>46235</v>
      </c>
      <c r="B331" s="28" t="s">
        <v>128</v>
      </c>
      <c r="C331" s="35" t="n">
        <v>29123</v>
      </c>
      <c r="D331" s="35" t="n">
        <v>1652</v>
      </c>
      <c r="E331" s="35" t="n">
        <v>71</v>
      </c>
      <c r="F331" s="35" t="n">
        <v>96</v>
      </c>
      <c r="G331" s="35" t="n">
        <v>362400</v>
      </c>
      <c r="H331" s="35" t="n">
        <v>25500</v>
      </c>
      <c r="I331" s="28" t="str">
        <f aca="false">INDEX(Campaigns!$C$2:$C$31,MATCH(B331,Campaigns!$A$2:$A$31,0))</f>
        <v>Google Search Ads</v>
      </c>
      <c r="J331" s="40" t="n">
        <f aca="false">DATE(YEAR(A331),MONTH(A331),1)</f>
        <v>46235</v>
      </c>
    </row>
    <row r="332" customFormat="false" ht="15" hidden="false" customHeight="false" outlineLevel="0" collapsed="false">
      <c r="A332" s="34" t="n">
        <v>46235</v>
      </c>
      <c r="B332" s="28" t="s">
        <v>134</v>
      </c>
      <c r="C332" s="35" t="n">
        <v>2247</v>
      </c>
      <c r="D332" s="35" t="n">
        <v>123</v>
      </c>
      <c r="E332" s="35" t="n">
        <v>7</v>
      </c>
      <c r="F332" s="35" t="n">
        <v>11</v>
      </c>
      <c r="G332" s="35" t="n">
        <v>33560</v>
      </c>
      <c r="H332" s="35" t="n">
        <v>3294</v>
      </c>
      <c r="I332" s="28" t="str">
        <f aca="false">INDEX(Campaigns!$C$2:$C$31,MATCH(B332,Campaigns!$A$2:$A$31,0))</f>
        <v>WhatsApp Broadcast</v>
      </c>
      <c r="J332" s="40" t="n">
        <f aca="false">DATE(YEAR(A332),MONTH(A332),1)</f>
        <v>46235</v>
      </c>
    </row>
    <row r="333" customFormat="false" ht="15" hidden="false" customHeight="false" outlineLevel="0" collapsed="false">
      <c r="A333" s="34" t="n">
        <v>46235</v>
      </c>
      <c r="B333" s="28" t="s">
        <v>136</v>
      </c>
      <c r="C333" s="35" t="n">
        <v>15102</v>
      </c>
      <c r="D333" s="35" t="n">
        <v>437</v>
      </c>
      <c r="E333" s="35" t="n">
        <v>21</v>
      </c>
      <c r="F333" s="35" t="n">
        <v>18</v>
      </c>
      <c r="G333" s="35" t="n">
        <v>58620</v>
      </c>
      <c r="H333" s="35" t="n">
        <v>4874</v>
      </c>
      <c r="I333" s="28" t="str">
        <f aca="false">INDEX(Campaigns!$C$2:$C$31,MATCH(B333,Campaigns!$A$2:$A$31,0))</f>
        <v>Email</v>
      </c>
      <c r="J333" s="40" t="n">
        <f aca="false">DATE(YEAR(A333),MONTH(A333),1)</f>
        <v>46235</v>
      </c>
    </row>
    <row r="334" customFormat="false" ht="15" hidden="false" customHeight="false" outlineLevel="0" collapsed="false">
      <c r="A334" s="34" t="n">
        <v>46235</v>
      </c>
      <c r="B334" s="28" t="s">
        <v>139</v>
      </c>
      <c r="C334" s="35" t="n">
        <v>17196</v>
      </c>
      <c r="D334" s="35" t="n">
        <v>189</v>
      </c>
      <c r="E334" s="35" t="n">
        <v>3</v>
      </c>
      <c r="F334" s="35" t="n">
        <v>5</v>
      </c>
      <c r="G334" s="35" t="n">
        <v>10360</v>
      </c>
      <c r="H334" s="35" t="n">
        <v>2923</v>
      </c>
      <c r="I334" s="28" t="str">
        <f aca="false">INDEX(Campaigns!$C$2:$C$31,MATCH(B334,Campaigns!$A$2:$A$31,0))</f>
        <v>TikTok Ads</v>
      </c>
      <c r="J334" s="40" t="n">
        <f aca="false">DATE(YEAR(A334),MONTH(A334),1)</f>
        <v>46235</v>
      </c>
    </row>
    <row r="335" customFormat="false" ht="15" hidden="false" customHeight="false" outlineLevel="0" collapsed="false">
      <c r="A335" s="34" t="n">
        <v>46235</v>
      </c>
      <c r="B335" s="28" t="s">
        <v>141</v>
      </c>
      <c r="C335" s="35" t="n">
        <v>7789</v>
      </c>
      <c r="D335" s="35" t="n">
        <v>267</v>
      </c>
      <c r="E335" s="35" t="n">
        <v>18</v>
      </c>
      <c r="F335" s="35" t="n">
        <v>10</v>
      </c>
      <c r="G335" s="35" t="n">
        <v>26600</v>
      </c>
      <c r="H335" s="35" t="n">
        <v>2541</v>
      </c>
      <c r="I335" s="28" t="str">
        <f aca="false">INDEX(Campaigns!$C$2:$C$31,MATCH(B335,Campaigns!$A$2:$A$31,0))</f>
        <v>Email</v>
      </c>
      <c r="J335" s="40" t="n">
        <f aca="false">DATE(YEAR(A335),MONTH(A335),1)</f>
        <v>46235</v>
      </c>
    </row>
    <row r="336" customFormat="false" ht="15" hidden="false" customHeight="false" outlineLevel="0" collapsed="false">
      <c r="A336" s="34" t="n">
        <v>46235</v>
      </c>
      <c r="B336" s="28" t="s">
        <v>145</v>
      </c>
      <c r="C336" s="35" t="n">
        <v>8095</v>
      </c>
      <c r="D336" s="35" t="n">
        <v>427</v>
      </c>
      <c r="E336" s="35" t="n">
        <v>18</v>
      </c>
      <c r="F336" s="35" t="n">
        <v>30</v>
      </c>
      <c r="G336" s="35" t="n">
        <v>119130</v>
      </c>
      <c r="H336" s="35" t="n">
        <v>7721</v>
      </c>
      <c r="I336" s="28" t="str">
        <f aca="false">INDEX(Campaigns!$C$2:$C$31,MATCH(B336,Campaigns!$A$2:$A$31,0))</f>
        <v>Google Search Ads</v>
      </c>
      <c r="J336" s="40" t="n">
        <f aca="false">DATE(YEAR(A336),MONTH(A336),1)</f>
        <v>46235</v>
      </c>
    </row>
    <row r="337" customFormat="false" ht="15" hidden="false" customHeight="false" outlineLevel="0" collapsed="false">
      <c r="A337" s="34" t="n">
        <v>46235</v>
      </c>
      <c r="B337" s="28" t="s">
        <v>147</v>
      </c>
      <c r="C337" s="35" t="n">
        <v>29506</v>
      </c>
      <c r="D337" s="35" t="n">
        <v>360</v>
      </c>
      <c r="E337" s="35" t="n">
        <v>9</v>
      </c>
      <c r="F337" s="35" t="n">
        <v>3</v>
      </c>
      <c r="G337" s="35" t="n">
        <v>10340</v>
      </c>
      <c r="H337" s="35" t="n">
        <v>6722</v>
      </c>
      <c r="I337" s="28" t="str">
        <f aca="false">INDEX(Campaigns!$C$2:$C$31,MATCH(B337,Campaigns!$A$2:$A$31,0))</f>
        <v>Facebook &amp; Instagram Ads</v>
      </c>
      <c r="J337" s="40" t="n">
        <f aca="false">DATE(YEAR(A337),MONTH(A337),1)</f>
        <v>46235</v>
      </c>
    </row>
    <row r="338" customFormat="false" ht="15" hidden="false" customHeight="false" outlineLevel="0" collapsed="false">
      <c r="A338" s="34" t="n">
        <v>46235</v>
      </c>
      <c r="B338" s="28" t="s">
        <v>154</v>
      </c>
      <c r="C338" s="35" t="n">
        <v>7073</v>
      </c>
      <c r="D338" s="35" t="n">
        <v>68</v>
      </c>
      <c r="E338" s="35" t="n">
        <v>3</v>
      </c>
      <c r="F338" s="35" t="n">
        <v>0</v>
      </c>
      <c r="G338" s="35" t="n">
        <v>0</v>
      </c>
      <c r="H338" s="35" t="n">
        <v>4125</v>
      </c>
      <c r="I338" s="28" t="str">
        <f aca="false">INDEX(Campaigns!$C$2:$C$31,MATCH(B338,Campaigns!$A$2:$A$31,0))</f>
        <v>Influencer Partnerships</v>
      </c>
      <c r="J338" s="40" t="n">
        <f aca="false">DATE(YEAR(A338),MONTH(A338),1)</f>
        <v>46235</v>
      </c>
    </row>
    <row r="339" customFormat="false" ht="15" hidden="false" customHeight="false" outlineLevel="0" collapsed="false">
      <c r="A339" s="34" t="n">
        <v>46235</v>
      </c>
      <c r="B339" s="28" t="s">
        <v>156</v>
      </c>
      <c r="C339" s="35" t="n">
        <v>41370</v>
      </c>
      <c r="D339" s="35" t="n">
        <v>382</v>
      </c>
      <c r="E339" s="35" t="n">
        <v>58</v>
      </c>
      <c r="F339" s="35" t="n">
        <v>3</v>
      </c>
      <c r="G339" s="35" t="n">
        <v>7690</v>
      </c>
      <c r="H339" s="35" t="n">
        <v>7159</v>
      </c>
      <c r="I339" s="28" t="str">
        <f aca="false">INDEX(Campaigns!$C$2:$C$31,MATCH(B339,Campaigns!$A$2:$A$31,0))</f>
        <v>TikTok Ads</v>
      </c>
      <c r="J339" s="40" t="n">
        <f aca="false">DATE(YEAR(A339),MONTH(A339),1)</f>
        <v>46235</v>
      </c>
    </row>
    <row r="340" customFormat="false" ht="15" hidden="false" customHeight="false" outlineLevel="0" collapsed="false">
      <c r="A340" s="34" t="n">
        <v>46235</v>
      </c>
      <c r="B340" s="28" t="s">
        <v>159</v>
      </c>
      <c r="C340" s="35" t="n">
        <v>25694</v>
      </c>
      <c r="D340" s="35" t="n">
        <v>372</v>
      </c>
      <c r="E340" s="35" t="n">
        <v>56</v>
      </c>
      <c r="F340" s="35" t="n">
        <v>4</v>
      </c>
      <c r="G340" s="35" t="n">
        <v>13100</v>
      </c>
      <c r="H340" s="35" t="n">
        <v>6022</v>
      </c>
      <c r="I340" s="28" t="str">
        <f aca="false">INDEX(Campaigns!$C$2:$C$31,MATCH(B340,Campaigns!$A$2:$A$31,0))</f>
        <v>Facebook &amp; Instagram Ads</v>
      </c>
      <c r="J340" s="40" t="n">
        <f aca="false">DATE(YEAR(A340),MONTH(A340),1)</f>
        <v>46235</v>
      </c>
    </row>
    <row r="341" customFormat="false" ht="15" hidden="false" customHeight="false" outlineLevel="0" collapsed="false">
      <c r="A341" s="34" t="n">
        <v>46235</v>
      </c>
      <c r="B341" s="28" t="s">
        <v>161</v>
      </c>
      <c r="C341" s="35" t="n">
        <v>52756</v>
      </c>
      <c r="D341" s="35" t="n">
        <v>690</v>
      </c>
      <c r="E341" s="35" t="n">
        <v>12</v>
      </c>
      <c r="F341" s="35" t="n">
        <v>1</v>
      </c>
      <c r="G341" s="35" t="n">
        <v>3730</v>
      </c>
      <c r="H341" s="35" t="n">
        <v>12960</v>
      </c>
      <c r="I341" s="28" t="str">
        <f aca="false">INDEX(Campaigns!$C$2:$C$31,MATCH(B341,Campaigns!$A$2:$A$31,0))</f>
        <v>Facebook &amp; Instagram Ads</v>
      </c>
      <c r="J341" s="40" t="n">
        <f aca="false">DATE(YEAR(A341),MONTH(A341),1)</f>
        <v>46235</v>
      </c>
    </row>
    <row r="342" customFormat="false" ht="15" hidden="false" customHeight="false" outlineLevel="0" collapsed="false">
      <c r="A342" s="34" t="n">
        <v>46235</v>
      </c>
      <c r="B342" s="28" t="s">
        <v>163</v>
      </c>
      <c r="C342" s="35" t="n">
        <v>1490</v>
      </c>
      <c r="D342" s="35" t="n">
        <v>54</v>
      </c>
      <c r="E342" s="35" t="n">
        <v>3</v>
      </c>
      <c r="F342" s="35" t="n">
        <v>4</v>
      </c>
      <c r="G342" s="35" t="n">
        <v>12820</v>
      </c>
      <c r="H342" s="35" t="n">
        <v>507</v>
      </c>
      <c r="I342" s="28" t="str">
        <f aca="false">INDEX(Campaigns!$C$2:$C$31,MATCH(B342,Campaigns!$A$2:$A$31,0))</f>
        <v>Email</v>
      </c>
      <c r="J342" s="40" t="n">
        <f aca="false">DATE(YEAR(A342),MONTH(A342),1)</f>
        <v>46235</v>
      </c>
    </row>
    <row r="343" customFormat="false" ht="15" hidden="false" customHeight="false" outlineLevel="0" collapsed="false">
      <c r="A343" s="34" t="n">
        <v>46236</v>
      </c>
      <c r="B343" s="28" t="s">
        <v>105</v>
      </c>
      <c r="C343" s="35" t="n">
        <v>7103</v>
      </c>
      <c r="D343" s="35" t="n">
        <v>303</v>
      </c>
      <c r="E343" s="35" t="n">
        <v>14</v>
      </c>
      <c r="F343" s="35" t="n">
        <v>7</v>
      </c>
      <c r="G343" s="35" t="n">
        <v>26060</v>
      </c>
      <c r="H343" s="35" t="n">
        <v>6278</v>
      </c>
      <c r="I343" s="28" t="str">
        <f aca="false">INDEX(Campaigns!$C$2:$C$31,MATCH(B343,Campaigns!$A$2:$A$31,0))</f>
        <v>Google Search Ads</v>
      </c>
      <c r="J343" s="40" t="n">
        <f aca="false">DATE(YEAR(A343),MONTH(A343),1)</f>
        <v>46235</v>
      </c>
    </row>
    <row r="344" customFormat="false" ht="15" hidden="false" customHeight="false" outlineLevel="0" collapsed="false">
      <c r="A344" s="34" t="n">
        <v>46236</v>
      </c>
      <c r="B344" s="28" t="s">
        <v>108</v>
      </c>
      <c r="C344" s="35" t="n">
        <v>6438</v>
      </c>
      <c r="D344" s="35" t="n">
        <v>195</v>
      </c>
      <c r="E344" s="35" t="n">
        <v>11</v>
      </c>
      <c r="F344" s="35" t="n">
        <v>9</v>
      </c>
      <c r="G344" s="35" t="n">
        <v>28210</v>
      </c>
      <c r="H344" s="35" t="n">
        <v>2265</v>
      </c>
      <c r="I344" s="28" t="str">
        <f aca="false">INDEX(Campaigns!$C$2:$C$31,MATCH(B344,Campaigns!$A$2:$A$31,0))</f>
        <v>Email</v>
      </c>
      <c r="J344" s="40" t="n">
        <f aca="false">DATE(YEAR(A344),MONTH(A344),1)</f>
        <v>46235</v>
      </c>
    </row>
    <row r="345" customFormat="false" ht="15" hidden="false" customHeight="false" outlineLevel="0" collapsed="false">
      <c r="A345" s="34" t="n">
        <v>46236</v>
      </c>
      <c r="B345" s="28" t="s">
        <v>112</v>
      </c>
      <c r="C345" s="35" t="n">
        <v>1241</v>
      </c>
      <c r="D345" s="35" t="n">
        <v>90</v>
      </c>
      <c r="E345" s="35" t="n">
        <v>5</v>
      </c>
      <c r="F345" s="35" t="n">
        <v>2</v>
      </c>
      <c r="G345" s="35" t="n">
        <v>5810</v>
      </c>
      <c r="H345" s="35" t="n">
        <v>1617</v>
      </c>
      <c r="I345" s="28" t="str">
        <f aca="false">INDEX(Campaigns!$C$2:$C$31,MATCH(B345,Campaigns!$A$2:$A$31,0))</f>
        <v>WhatsApp Broadcast</v>
      </c>
      <c r="J345" s="40" t="n">
        <f aca="false">DATE(YEAR(A345),MONTH(A345),1)</f>
        <v>46235</v>
      </c>
    </row>
    <row r="346" customFormat="false" ht="15" hidden="false" customHeight="false" outlineLevel="0" collapsed="false">
      <c r="A346" s="34" t="n">
        <v>46236</v>
      </c>
      <c r="B346" s="28" t="s">
        <v>114</v>
      </c>
      <c r="C346" s="35" t="n">
        <v>878</v>
      </c>
      <c r="D346" s="35" t="n">
        <v>53</v>
      </c>
      <c r="E346" s="35" t="n">
        <v>2</v>
      </c>
      <c r="F346" s="35" t="n">
        <v>2</v>
      </c>
      <c r="G346" s="35" t="n">
        <v>5480</v>
      </c>
      <c r="H346" s="35" t="n">
        <v>1284</v>
      </c>
      <c r="I346" s="28" t="str">
        <f aca="false">INDEX(Campaigns!$C$2:$C$31,MATCH(B346,Campaigns!$A$2:$A$31,0))</f>
        <v>WhatsApp Broadcast</v>
      </c>
      <c r="J346" s="40" t="n">
        <f aca="false">DATE(YEAR(A346),MONTH(A346),1)</f>
        <v>46235</v>
      </c>
    </row>
    <row r="347" customFormat="false" ht="15" hidden="false" customHeight="false" outlineLevel="0" collapsed="false">
      <c r="A347" s="34" t="n">
        <v>46236</v>
      </c>
      <c r="B347" s="28" t="s">
        <v>116</v>
      </c>
      <c r="C347" s="35" t="n">
        <v>28766</v>
      </c>
      <c r="D347" s="35" t="n">
        <v>359</v>
      </c>
      <c r="E347" s="35" t="n">
        <v>15</v>
      </c>
      <c r="F347" s="35" t="n">
        <v>8</v>
      </c>
      <c r="G347" s="35" t="n">
        <v>26150</v>
      </c>
      <c r="H347" s="35" t="n">
        <v>7040</v>
      </c>
      <c r="I347" s="28" t="str">
        <f aca="false">INDEX(Campaigns!$C$2:$C$31,MATCH(B347,Campaigns!$A$2:$A$31,0))</f>
        <v>Facebook &amp; Instagram Ads</v>
      </c>
      <c r="J347" s="40" t="n">
        <f aca="false">DATE(YEAR(A347),MONTH(A347),1)</f>
        <v>46235</v>
      </c>
    </row>
    <row r="348" customFormat="false" ht="15" hidden="false" customHeight="false" outlineLevel="0" collapsed="false">
      <c r="A348" s="34" t="n">
        <v>46236</v>
      </c>
      <c r="B348" s="28" t="s">
        <v>118</v>
      </c>
      <c r="C348" s="35" t="n">
        <v>3281</v>
      </c>
      <c r="D348" s="35" t="n">
        <v>171</v>
      </c>
      <c r="E348" s="35" t="n">
        <v>7</v>
      </c>
      <c r="F348" s="35" t="n">
        <v>6</v>
      </c>
      <c r="G348" s="35" t="n">
        <v>19930</v>
      </c>
      <c r="H348" s="35" t="n">
        <v>2686</v>
      </c>
      <c r="I348" s="28" t="str">
        <f aca="false">INDEX(Campaigns!$C$2:$C$31,MATCH(B348,Campaigns!$A$2:$A$31,0))</f>
        <v>Google Search Ads</v>
      </c>
      <c r="J348" s="40" t="n">
        <f aca="false">DATE(YEAR(A348),MONTH(A348),1)</f>
        <v>46235</v>
      </c>
    </row>
    <row r="349" customFormat="false" ht="15" hidden="false" customHeight="false" outlineLevel="0" collapsed="false">
      <c r="A349" s="34" t="n">
        <v>46236</v>
      </c>
      <c r="B349" s="28" t="s">
        <v>122</v>
      </c>
      <c r="C349" s="35" t="n">
        <v>124960</v>
      </c>
      <c r="D349" s="35" t="n">
        <v>1009</v>
      </c>
      <c r="E349" s="35" t="n">
        <v>34</v>
      </c>
      <c r="F349" s="35" t="n">
        <v>7</v>
      </c>
      <c r="G349" s="35" t="n">
        <v>21530</v>
      </c>
      <c r="H349" s="35" t="n">
        <v>24725</v>
      </c>
      <c r="I349" s="28" t="str">
        <f aca="false">INDEX(Campaigns!$C$2:$C$31,MATCH(B349,Campaigns!$A$2:$A$31,0))</f>
        <v>TikTok Ads</v>
      </c>
      <c r="J349" s="40" t="n">
        <f aca="false">DATE(YEAR(A349),MONTH(A349),1)</f>
        <v>46235</v>
      </c>
    </row>
    <row r="350" customFormat="false" ht="15" hidden="false" customHeight="false" outlineLevel="0" collapsed="false">
      <c r="A350" s="34" t="n">
        <v>46236</v>
      </c>
      <c r="B350" s="28" t="s">
        <v>124</v>
      </c>
      <c r="C350" s="35" t="n">
        <v>7223</v>
      </c>
      <c r="D350" s="35" t="n">
        <v>148</v>
      </c>
      <c r="E350" s="35" t="n">
        <v>6</v>
      </c>
      <c r="F350" s="35" t="n">
        <v>4</v>
      </c>
      <c r="G350" s="35" t="n">
        <v>14620</v>
      </c>
      <c r="H350" s="35" t="n">
        <v>2789</v>
      </c>
      <c r="I350" s="28" t="str">
        <f aca="false">INDEX(Campaigns!$C$2:$C$31,MATCH(B350,Campaigns!$A$2:$A$31,0))</f>
        <v>Email</v>
      </c>
      <c r="J350" s="40" t="n">
        <f aca="false">DATE(YEAR(A350),MONTH(A350),1)</f>
        <v>46235</v>
      </c>
    </row>
    <row r="351" customFormat="false" ht="15" hidden="false" customHeight="false" outlineLevel="0" collapsed="false">
      <c r="A351" s="34" t="n">
        <v>46236</v>
      </c>
      <c r="B351" s="28" t="s">
        <v>126</v>
      </c>
      <c r="C351" s="35" t="n">
        <v>13717</v>
      </c>
      <c r="D351" s="35" t="n">
        <v>103</v>
      </c>
      <c r="E351" s="35" t="n">
        <v>2</v>
      </c>
      <c r="F351" s="35" t="n">
        <v>0</v>
      </c>
      <c r="G351" s="35" t="n">
        <v>0</v>
      </c>
      <c r="H351" s="35" t="n">
        <v>2697</v>
      </c>
      <c r="I351" s="28" t="str">
        <f aca="false">INDEX(Campaigns!$C$2:$C$31,MATCH(B351,Campaigns!$A$2:$A$31,0))</f>
        <v>TikTok Ads</v>
      </c>
      <c r="J351" s="40" t="n">
        <f aca="false">DATE(YEAR(A351),MONTH(A351),1)</f>
        <v>46235</v>
      </c>
    </row>
    <row r="352" customFormat="false" ht="15" hidden="false" customHeight="false" outlineLevel="0" collapsed="false">
      <c r="A352" s="34" t="n">
        <v>46236</v>
      </c>
      <c r="B352" s="28" t="s">
        <v>134</v>
      </c>
      <c r="C352" s="35" t="n">
        <v>2946</v>
      </c>
      <c r="D352" s="35" t="n">
        <v>209</v>
      </c>
      <c r="E352" s="35" t="n">
        <v>6</v>
      </c>
      <c r="F352" s="35" t="n">
        <v>14</v>
      </c>
      <c r="G352" s="35" t="n">
        <v>41150</v>
      </c>
      <c r="H352" s="35" t="n">
        <v>3831</v>
      </c>
      <c r="I352" s="28" t="str">
        <f aca="false">INDEX(Campaigns!$C$2:$C$31,MATCH(B352,Campaigns!$A$2:$A$31,0))</f>
        <v>WhatsApp Broadcast</v>
      </c>
      <c r="J352" s="40" t="n">
        <f aca="false">DATE(YEAR(A352),MONTH(A352),1)</f>
        <v>46235</v>
      </c>
    </row>
    <row r="353" customFormat="false" ht="15" hidden="false" customHeight="false" outlineLevel="0" collapsed="false">
      <c r="A353" s="34" t="n">
        <v>46236</v>
      </c>
      <c r="B353" s="28" t="s">
        <v>136</v>
      </c>
      <c r="C353" s="35" t="n">
        <v>12341</v>
      </c>
      <c r="D353" s="35" t="n">
        <v>369</v>
      </c>
      <c r="E353" s="35" t="n">
        <v>12</v>
      </c>
      <c r="F353" s="35" t="n">
        <v>12</v>
      </c>
      <c r="G353" s="35" t="n">
        <v>41850</v>
      </c>
      <c r="H353" s="35" t="n">
        <v>4521</v>
      </c>
      <c r="I353" s="28" t="str">
        <f aca="false">INDEX(Campaigns!$C$2:$C$31,MATCH(B353,Campaigns!$A$2:$A$31,0))</f>
        <v>Email</v>
      </c>
      <c r="J353" s="40" t="n">
        <f aca="false">DATE(YEAR(A353),MONTH(A353),1)</f>
        <v>46235</v>
      </c>
    </row>
    <row r="354" customFormat="false" ht="15" hidden="false" customHeight="false" outlineLevel="0" collapsed="false">
      <c r="A354" s="34" t="n">
        <v>46236</v>
      </c>
      <c r="B354" s="28" t="s">
        <v>139</v>
      </c>
      <c r="C354" s="35" t="n">
        <v>19726</v>
      </c>
      <c r="D354" s="35" t="n">
        <v>192</v>
      </c>
      <c r="E354" s="35" t="n">
        <v>7</v>
      </c>
      <c r="F354" s="35" t="n">
        <v>1</v>
      </c>
      <c r="G354" s="35" t="n">
        <v>2900</v>
      </c>
      <c r="H354" s="35" t="n">
        <v>3648</v>
      </c>
      <c r="I354" s="28" t="str">
        <f aca="false">INDEX(Campaigns!$C$2:$C$31,MATCH(B354,Campaigns!$A$2:$A$31,0))</f>
        <v>TikTok Ads</v>
      </c>
      <c r="J354" s="40" t="n">
        <f aca="false">DATE(YEAR(A354),MONTH(A354),1)</f>
        <v>46235</v>
      </c>
    </row>
    <row r="355" customFormat="false" ht="15" hidden="false" customHeight="false" outlineLevel="0" collapsed="false">
      <c r="A355" s="34" t="n">
        <v>46236</v>
      </c>
      <c r="B355" s="28" t="s">
        <v>141</v>
      </c>
      <c r="C355" s="35" t="n">
        <v>7260</v>
      </c>
      <c r="D355" s="35" t="n">
        <v>255</v>
      </c>
      <c r="E355" s="35" t="n">
        <v>11</v>
      </c>
      <c r="F355" s="35" t="n">
        <v>11</v>
      </c>
      <c r="G355" s="35" t="n">
        <v>31510</v>
      </c>
      <c r="H355" s="35" t="n">
        <v>2730</v>
      </c>
      <c r="I355" s="28" t="str">
        <f aca="false">INDEX(Campaigns!$C$2:$C$31,MATCH(B355,Campaigns!$A$2:$A$31,0))</f>
        <v>Email</v>
      </c>
      <c r="J355" s="40" t="n">
        <f aca="false">DATE(YEAR(A355),MONTH(A355),1)</f>
        <v>46235</v>
      </c>
    </row>
    <row r="356" customFormat="false" ht="15" hidden="false" customHeight="false" outlineLevel="0" collapsed="false">
      <c r="A356" s="34" t="n">
        <v>46236</v>
      </c>
      <c r="B356" s="28" t="s">
        <v>145</v>
      </c>
      <c r="C356" s="35" t="n">
        <v>9491</v>
      </c>
      <c r="D356" s="35" t="n">
        <v>476</v>
      </c>
      <c r="E356" s="35" t="n">
        <v>26</v>
      </c>
      <c r="F356" s="35" t="n">
        <v>32</v>
      </c>
      <c r="G356" s="35" t="n">
        <v>120670</v>
      </c>
      <c r="H356" s="35" t="n">
        <v>8627</v>
      </c>
      <c r="I356" s="28" t="str">
        <f aca="false">INDEX(Campaigns!$C$2:$C$31,MATCH(B356,Campaigns!$A$2:$A$31,0))</f>
        <v>Google Search Ads</v>
      </c>
      <c r="J356" s="40" t="n">
        <f aca="false">DATE(YEAR(A356),MONTH(A356),1)</f>
        <v>46235</v>
      </c>
    </row>
    <row r="357" customFormat="false" ht="15" hidden="false" customHeight="false" outlineLevel="0" collapsed="false">
      <c r="A357" s="34" t="n">
        <v>46236</v>
      </c>
      <c r="B357" s="28" t="s">
        <v>147</v>
      </c>
      <c r="C357" s="35" t="n">
        <v>25990</v>
      </c>
      <c r="D357" s="35" t="n">
        <v>335</v>
      </c>
      <c r="E357" s="35" t="n">
        <v>5</v>
      </c>
      <c r="F357" s="35" t="n">
        <v>1</v>
      </c>
      <c r="G357" s="35" t="n">
        <v>2040</v>
      </c>
      <c r="H357" s="35" t="n">
        <v>6144</v>
      </c>
      <c r="I357" s="28" t="str">
        <f aca="false">INDEX(Campaigns!$C$2:$C$31,MATCH(B357,Campaigns!$A$2:$A$31,0))</f>
        <v>Facebook &amp; Instagram Ads</v>
      </c>
      <c r="J357" s="40" t="n">
        <f aca="false">DATE(YEAR(A357),MONTH(A357),1)</f>
        <v>46235</v>
      </c>
    </row>
    <row r="358" customFormat="false" ht="15" hidden="false" customHeight="false" outlineLevel="0" collapsed="false">
      <c r="A358" s="34" t="n">
        <v>46236</v>
      </c>
      <c r="B358" s="28" t="s">
        <v>154</v>
      </c>
      <c r="C358" s="35" t="n">
        <v>6200</v>
      </c>
      <c r="D358" s="35" t="n">
        <v>47</v>
      </c>
      <c r="E358" s="35" t="n">
        <v>2</v>
      </c>
      <c r="F358" s="35" t="n">
        <v>1</v>
      </c>
      <c r="G358" s="35" t="n">
        <v>3030</v>
      </c>
      <c r="H358" s="35" t="n">
        <v>3694</v>
      </c>
      <c r="I358" s="28" t="str">
        <f aca="false">INDEX(Campaigns!$C$2:$C$31,MATCH(B358,Campaigns!$A$2:$A$31,0))</f>
        <v>Influencer Partnerships</v>
      </c>
      <c r="J358" s="40" t="n">
        <f aca="false">DATE(YEAR(A358),MONTH(A358),1)</f>
        <v>46235</v>
      </c>
    </row>
    <row r="359" customFormat="false" ht="15" hidden="false" customHeight="false" outlineLevel="0" collapsed="false">
      <c r="A359" s="34" t="n">
        <v>46236</v>
      </c>
      <c r="B359" s="28" t="s">
        <v>156</v>
      </c>
      <c r="C359" s="35" t="n">
        <v>58445</v>
      </c>
      <c r="D359" s="35" t="n">
        <v>541</v>
      </c>
      <c r="E359" s="35" t="n">
        <v>77</v>
      </c>
      <c r="F359" s="35" t="n">
        <v>15</v>
      </c>
      <c r="G359" s="35" t="n">
        <v>42190</v>
      </c>
      <c r="H359" s="35" t="n">
        <v>9642</v>
      </c>
      <c r="I359" s="28" t="str">
        <f aca="false">INDEX(Campaigns!$C$2:$C$31,MATCH(B359,Campaigns!$A$2:$A$31,0))</f>
        <v>TikTok Ads</v>
      </c>
      <c r="J359" s="40" t="n">
        <f aca="false">DATE(YEAR(A359),MONTH(A359),1)</f>
        <v>46235</v>
      </c>
    </row>
    <row r="360" customFormat="false" ht="15" hidden="false" customHeight="false" outlineLevel="0" collapsed="false">
      <c r="A360" s="34" t="n">
        <v>46236</v>
      </c>
      <c r="B360" s="28" t="s">
        <v>159</v>
      </c>
      <c r="C360" s="35" t="n">
        <v>33498</v>
      </c>
      <c r="D360" s="35" t="n">
        <v>485</v>
      </c>
      <c r="E360" s="35" t="n">
        <v>64</v>
      </c>
      <c r="F360" s="35" t="n">
        <v>9</v>
      </c>
      <c r="G360" s="35" t="n">
        <v>27610</v>
      </c>
      <c r="H360" s="35" t="n">
        <v>7792</v>
      </c>
      <c r="I360" s="28" t="str">
        <f aca="false">INDEX(Campaigns!$C$2:$C$31,MATCH(B360,Campaigns!$A$2:$A$31,0))</f>
        <v>Facebook &amp; Instagram Ads</v>
      </c>
      <c r="J360" s="40" t="n">
        <f aca="false">DATE(YEAR(A360),MONTH(A360),1)</f>
        <v>46235</v>
      </c>
    </row>
    <row r="361" customFormat="false" ht="15" hidden="false" customHeight="false" outlineLevel="0" collapsed="false">
      <c r="A361" s="34" t="n">
        <v>46236</v>
      </c>
      <c r="B361" s="28" t="s">
        <v>161</v>
      </c>
      <c r="C361" s="35" t="n">
        <v>48253</v>
      </c>
      <c r="D361" s="35" t="n">
        <v>630</v>
      </c>
      <c r="E361" s="35" t="n">
        <v>17</v>
      </c>
      <c r="F361" s="35" t="n">
        <v>2</v>
      </c>
      <c r="G361" s="35" t="n">
        <v>6820</v>
      </c>
      <c r="H361" s="35" t="n">
        <v>11223</v>
      </c>
      <c r="I361" s="28" t="str">
        <f aca="false">INDEX(Campaigns!$C$2:$C$31,MATCH(B361,Campaigns!$A$2:$A$31,0))</f>
        <v>Facebook &amp; Instagram Ads</v>
      </c>
      <c r="J361" s="40" t="n">
        <f aca="false">DATE(YEAR(A361),MONTH(A361),1)</f>
        <v>46235</v>
      </c>
    </row>
    <row r="362" customFormat="false" ht="15" hidden="false" customHeight="false" outlineLevel="0" collapsed="false">
      <c r="A362" s="34" t="n">
        <v>46236</v>
      </c>
      <c r="B362" s="28" t="s">
        <v>163</v>
      </c>
      <c r="C362" s="35" t="n">
        <v>1703</v>
      </c>
      <c r="D362" s="35" t="n">
        <v>42</v>
      </c>
      <c r="E362" s="35" t="n">
        <v>1</v>
      </c>
      <c r="F362" s="35" t="n">
        <v>2</v>
      </c>
      <c r="G362" s="35" t="n">
        <v>6270</v>
      </c>
      <c r="H362" s="35" t="n">
        <v>652</v>
      </c>
      <c r="I362" s="28" t="str">
        <f aca="false">INDEX(Campaigns!$C$2:$C$31,MATCH(B362,Campaigns!$A$2:$A$31,0))</f>
        <v>Email</v>
      </c>
      <c r="J362" s="40" t="n">
        <f aca="false">DATE(YEAR(A362),MONTH(A362),1)</f>
        <v>46235</v>
      </c>
    </row>
    <row r="363" customFormat="false" ht="15" hidden="false" customHeight="false" outlineLevel="0" collapsed="false">
      <c r="A363" s="34" t="n">
        <v>46237</v>
      </c>
      <c r="B363" s="28" t="s">
        <v>105</v>
      </c>
      <c r="C363" s="35" t="n">
        <v>5435</v>
      </c>
      <c r="D363" s="35" t="n">
        <v>228</v>
      </c>
      <c r="E363" s="35" t="n">
        <v>8</v>
      </c>
      <c r="F363" s="35" t="n">
        <v>5</v>
      </c>
      <c r="G363" s="35" t="n">
        <v>19730</v>
      </c>
      <c r="H363" s="35" t="n">
        <v>4465</v>
      </c>
      <c r="I363" s="28" t="str">
        <f aca="false">INDEX(Campaigns!$C$2:$C$31,MATCH(B363,Campaigns!$A$2:$A$31,0))</f>
        <v>Google Search Ads</v>
      </c>
      <c r="J363" s="40" t="n">
        <f aca="false">DATE(YEAR(A363),MONTH(A363),1)</f>
        <v>46235</v>
      </c>
    </row>
    <row r="364" customFormat="false" ht="15" hidden="false" customHeight="false" outlineLevel="0" collapsed="false">
      <c r="A364" s="34" t="n">
        <v>46237</v>
      </c>
      <c r="B364" s="28" t="s">
        <v>108</v>
      </c>
      <c r="C364" s="35" t="n">
        <v>7270</v>
      </c>
      <c r="D364" s="35" t="n">
        <v>268</v>
      </c>
      <c r="E364" s="35" t="n">
        <v>10</v>
      </c>
      <c r="F364" s="35" t="n">
        <v>9</v>
      </c>
      <c r="G364" s="35" t="n">
        <v>31620</v>
      </c>
      <c r="H364" s="35" t="n">
        <v>2525</v>
      </c>
      <c r="I364" s="28" t="str">
        <f aca="false">INDEX(Campaigns!$C$2:$C$31,MATCH(B364,Campaigns!$A$2:$A$31,0))</f>
        <v>Email</v>
      </c>
      <c r="J364" s="40" t="n">
        <f aca="false">DATE(YEAR(A364),MONTH(A364),1)</f>
        <v>46235</v>
      </c>
    </row>
    <row r="365" customFormat="false" ht="15" hidden="false" customHeight="false" outlineLevel="0" collapsed="false">
      <c r="A365" s="34" t="n">
        <v>46237</v>
      </c>
      <c r="B365" s="28" t="s">
        <v>112</v>
      </c>
      <c r="C365" s="35" t="n">
        <v>859</v>
      </c>
      <c r="D365" s="35" t="n">
        <v>52</v>
      </c>
      <c r="E365" s="35" t="n">
        <v>0</v>
      </c>
      <c r="F365" s="35" t="n">
        <v>1</v>
      </c>
      <c r="G365" s="35" t="n">
        <v>2500</v>
      </c>
      <c r="H365" s="35" t="n">
        <v>1304</v>
      </c>
      <c r="I365" s="28" t="str">
        <f aca="false">INDEX(Campaigns!$C$2:$C$31,MATCH(B365,Campaigns!$A$2:$A$31,0))</f>
        <v>WhatsApp Broadcast</v>
      </c>
      <c r="J365" s="40" t="n">
        <f aca="false">DATE(YEAR(A365),MONTH(A365),1)</f>
        <v>46235</v>
      </c>
    </row>
    <row r="366" customFormat="false" ht="15" hidden="false" customHeight="false" outlineLevel="0" collapsed="false">
      <c r="A366" s="34" t="n">
        <v>46237</v>
      </c>
      <c r="B366" s="28" t="s">
        <v>114</v>
      </c>
      <c r="C366" s="35" t="n">
        <v>735</v>
      </c>
      <c r="D366" s="35" t="n">
        <v>40</v>
      </c>
      <c r="E366" s="35" t="n">
        <v>0</v>
      </c>
      <c r="F366" s="35" t="n">
        <v>3</v>
      </c>
      <c r="G366" s="35" t="n">
        <v>8470</v>
      </c>
      <c r="H366" s="35" t="n">
        <v>1057</v>
      </c>
      <c r="I366" s="28" t="str">
        <f aca="false">INDEX(Campaigns!$C$2:$C$31,MATCH(B366,Campaigns!$A$2:$A$31,0))</f>
        <v>WhatsApp Broadcast</v>
      </c>
      <c r="J366" s="40" t="n">
        <f aca="false">DATE(YEAR(A366),MONTH(A366),1)</f>
        <v>46235</v>
      </c>
    </row>
    <row r="367" customFormat="false" ht="15" hidden="false" customHeight="false" outlineLevel="0" collapsed="false">
      <c r="A367" s="34" t="n">
        <v>46237</v>
      </c>
      <c r="B367" s="28" t="s">
        <v>116</v>
      </c>
      <c r="C367" s="35" t="n">
        <v>27162</v>
      </c>
      <c r="D367" s="35" t="n">
        <v>293</v>
      </c>
      <c r="E367" s="35" t="n">
        <v>16</v>
      </c>
      <c r="F367" s="35" t="n">
        <v>4</v>
      </c>
      <c r="G367" s="35" t="n">
        <v>12840</v>
      </c>
      <c r="H367" s="35" t="n">
        <v>6325</v>
      </c>
      <c r="I367" s="28" t="str">
        <f aca="false">INDEX(Campaigns!$C$2:$C$31,MATCH(B367,Campaigns!$A$2:$A$31,0))</f>
        <v>Facebook &amp; Instagram Ads</v>
      </c>
      <c r="J367" s="40" t="n">
        <f aca="false">DATE(YEAR(A367),MONTH(A367),1)</f>
        <v>46235</v>
      </c>
    </row>
    <row r="368" customFormat="false" ht="15" hidden="false" customHeight="false" outlineLevel="0" collapsed="false">
      <c r="A368" s="34" t="n">
        <v>46237</v>
      </c>
      <c r="B368" s="28" t="s">
        <v>118</v>
      </c>
      <c r="C368" s="35" t="n">
        <v>3149</v>
      </c>
      <c r="D368" s="35" t="n">
        <v>150</v>
      </c>
      <c r="E368" s="35" t="n">
        <v>6</v>
      </c>
      <c r="F368" s="35" t="n">
        <v>10</v>
      </c>
      <c r="G368" s="35" t="n">
        <v>42070</v>
      </c>
      <c r="H368" s="35" t="n">
        <v>2802</v>
      </c>
      <c r="I368" s="28" t="str">
        <f aca="false">INDEX(Campaigns!$C$2:$C$31,MATCH(B368,Campaigns!$A$2:$A$31,0))</f>
        <v>Google Search Ads</v>
      </c>
      <c r="J368" s="40" t="n">
        <f aca="false">DATE(YEAR(A368),MONTH(A368),1)</f>
        <v>46235</v>
      </c>
    </row>
    <row r="369" customFormat="false" ht="15" hidden="false" customHeight="false" outlineLevel="0" collapsed="false">
      <c r="A369" s="34" t="n">
        <v>46237</v>
      </c>
      <c r="B369" s="28" t="s">
        <v>122</v>
      </c>
      <c r="C369" s="35" t="n">
        <v>150021</v>
      </c>
      <c r="D369" s="35" t="n">
        <v>1191</v>
      </c>
      <c r="E369" s="35" t="n">
        <v>47</v>
      </c>
      <c r="F369" s="35" t="n">
        <v>11</v>
      </c>
      <c r="G369" s="35" t="n">
        <v>29690</v>
      </c>
      <c r="H369" s="35" t="n">
        <v>25272</v>
      </c>
      <c r="I369" s="28" t="str">
        <f aca="false">INDEX(Campaigns!$C$2:$C$31,MATCH(B369,Campaigns!$A$2:$A$31,0))</f>
        <v>TikTok Ads</v>
      </c>
      <c r="J369" s="40" t="n">
        <f aca="false">DATE(YEAR(A369),MONTH(A369),1)</f>
        <v>46235</v>
      </c>
    </row>
    <row r="370" customFormat="false" ht="15" hidden="false" customHeight="false" outlineLevel="0" collapsed="false">
      <c r="A370" s="34" t="n">
        <v>46237</v>
      </c>
      <c r="B370" s="28" t="s">
        <v>124</v>
      </c>
      <c r="C370" s="35" t="n">
        <v>7954</v>
      </c>
      <c r="D370" s="35" t="n">
        <v>174</v>
      </c>
      <c r="E370" s="35" t="n">
        <v>10</v>
      </c>
      <c r="F370" s="35" t="n">
        <v>3</v>
      </c>
      <c r="G370" s="35" t="n">
        <v>8750</v>
      </c>
      <c r="H370" s="35" t="n">
        <v>2828</v>
      </c>
      <c r="I370" s="28" t="str">
        <f aca="false">INDEX(Campaigns!$C$2:$C$31,MATCH(B370,Campaigns!$A$2:$A$31,0))</f>
        <v>Email</v>
      </c>
      <c r="J370" s="40" t="n">
        <f aca="false">DATE(YEAR(A370),MONTH(A370),1)</f>
        <v>46235</v>
      </c>
    </row>
    <row r="371" customFormat="false" ht="15" hidden="false" customHeight="false" outlineLevel="0" collapsed="false">
      <c r="A371" s="34" t="n">
        <v>46237</v>
      </c>
      <c r="B371" s="28" t="s">
        <v>126</v>
      </c>
      <c r="C371" s="35" t="n">
        <v>13906</v>
      </c>
      <c r="D371" s="35" t="n">
        <v>78</v>
      </c>
      <c r="E371" s="35" t="n">
        <v>3</v>
      </c>
      <c r="F371" s="35" t="n">
        <v>1</v>
      </c>
      <c r="G371" s="35" t="n">
        <v>1550</v>
      </c>
      <c r="H371" s="35" t="n">
        <v>2634</v>
      </c>
      <c r="I371" s="28" t="str">
        <f aca="false">INDEX(Campaigns!$C$2:$C$31,MATCH(B371,Campaigns!$A$2:$A$31,0))</f>
        <v>TikTok Ads</v>
      </c>
      <c r="J371" s="40" t="n">
        <f aca="false">DATE(YEAR(A371),MONTH(A371),1)</f>
        <v>46235</v>
      </c>
    </row>
    <row r="372" customFormat="false" ht="15" hidden="false" customHeight="false" outlineLevel="0" collapsed="false">
      <c r="A372" s="34" t="n">
        <v>46237</v>
      </c>
      <c r="B372" s="28" t="s">
        <v>128</v>
      </c>
      <c r="C372" s="35" t="n">
        <v>28339</v>
      </c>
      <c r="D372" s="35" t="n">
        <v>1670</v>
      </c>
      <c r="E372" s="35" t="n">
        <v>73</v>
      </c>
      <c r="F372" s="35" t="n">
        <v>106</v>
      </c>
      <c r="G372" s="35" t="n">
        <v>392850</v>
      </c>
      <c r="H372" s="35" t="n">
        <v>24181</v>
      </c>
      <c r="I372" s="28" t="str">
        <f aca="false">INDEX(Campaigns!$C$2:$C$31,MATCH(B372,Campaigns!$A$2:$A$31,0))</f>
        <v>Google Search Ads</v>
      </c>
      <c r="J372" s="40" t="n">
        <f aca="false">DATE(YEAR(A372),MONTH(A372),1)</f>
        <v>46235</v>
      </c>
    </row>
    <row r="373" customFormat="false" ht="15" hidden="false" customHeight="false" outlineLevel="0" collapsed="false">
      <c r="A373" s="34" t="n">
        <v>46237</v>
      </c>
      <c r="B373" s="28" t="s">
        <v>134</v>
      </c>
      <c r="C373" s="35" t="n">
        <v>2427</v>
      </c>
      <c r="D373" s="35" t="n">
        <v>166</v>
      </c>
      <c r="E373" s="35" t="n">
        <v>7</v>
      </c>
      <c r="F373" s="35" t="n">
        <v>12</v>
      </c>
      <c r="G373" s="35" t="n">
        <v>37830</v>
      </c>
      <c r="H373" s="35" t="n">
        <v>3596</v>
      </c>
      <c r="I373" s="28" t="str">
        <f aca="false">INDEX(Campaigns!$C$2:$C$31,MATCH(B373,Campaigns!$A$2:$A$31,0))</f>
        <v>WhatsApp Broadcast</v>
      </c>
      <c r="J373" s="40" t="n">
        <f aca="false">DATE(YEAR(A373),MONTH(A373),1)</f>
        <v>46235</v>
      </c>
    </row>
    <row r="374" customFormat="false" ht="15" hidden="false" customHeight="false" outlineLevel="0" collapsed="false">
      <c r="A374" s="34" t="n">
        <v>46237</v>
      </c>
      <c r="B374" s="28" t="s">
        <v>136</v>
      </c>
      <c r="C374" s="35" t="n">
        <v>9417</v>
      </c>
      <c r="D374" s="35" t="n">
        <v>291</v>
      </c>
      <c r="E374" s="35" t="n">
        <v>17</v>
      </c>
      <c r="F374" s="35" t="n">
        <v>10</v>
      </c>
      <c r="G374" s="35" t="n">
        <v>27540</v>
      </c>
      <c r="H374" s="35" t="n">
        <v>3585</v>
      </c>
      <c r="I374" s="28" t="str">
        <f aca="false">INDEX(Campaigns!$C$2:$C$31,MATCH(B374,Campaigns!$A$2:$A$31,0))</f>
        <v>Email</v>
      </c>
      <c r="J374" s="40" t="n">
        <f aca="false">DATE(YEAR(A374),MONTH(A374),1)</f>
        <v>46235</v>
      </c>
    </row>
    <row r="375" customFormat="false" ht="15" hidden="false" customHeight="false" outlineLevel="0" collapsed="false">
      <c r="A375" s="34" t="n">
        <v>46237</v>
      </c>
      <c r="B375" s="28" t="s">
        <v>139</v>
      </c>
      <c r="C375" s="35" t="n">
        <v>17757</v>
      </c>
      <c r="D375" s="35" t="n">
        <v>181</v>
      </c>
      <c r="E375" s="35" t="n">
        <v>7</v>
      </c>
      <c r="F375" s="35" t="n">
        <v>3</v>
      </c>
      <c r="G375" s="35" t="n">
        <v>6720</v>
      </c>
      <c r="H375" s="35" t="n">
        <v>3156</v>
      </c>
      <c r="I375" s="28" t="str">
        <f aca="false">INDEX(Campaigns!$C$2:$C$31,MATCH(B375,Campaigns!$A$2:$A$31,0))</f>
        <v>TikTok Ads</v>
      </c>
      <c r="J375" s="40" t="n">
        <f aca="false">DATE(YEAR(A375),MONTH(A375),1)</f>
        <v>46235</v>
      </c>
    </row>
    <row r="376" customFormat="false" ht="15" hidden="false" customHeight="false" outlineLevel="0" collapsed="false">
      <c r="A376" s="34" t="n">
        <v>46237</v>
      </c>
      <c r="B376" s="28" t="s">
        <v>141</v>
      </c>
      <c r="C376" s="35" t="n">
        <v>7115</v>
      </c>
      <c r="D376" s="35" t="n">
        <v>220</v>
      </c>
      <c r="E376" s="35" t="n">
        <v>4</v>
      </c>
      <c r="F376" s="35" t="n">
        <v>10</v>
      </c>
      <c r="G376" s="35" t="n">
        <v>30580</v>
      </c>
      <c r="H376" s="35" t="n">
        <v>2283</v>
      </c>
      <c r="I376" s="28" t="str">
        <f aca="false">INDEX(Campaigns!$C$2:$C$31,MATCH(B376,Campaigns!$A$2:$A$31,0))</f>
        <v>Email</v>
      </c>
      <c r="J376" s="40" t="n">
        <f aca="false">DATE(YEAR(A376),MONTH(A376),1)</f>
        <v>46235</v>
      </c>
    </row>
    <row r="377" customFormat="false" ht="15" hidden="false" customHeight="false" outlineLevel="0" collapsed="false">
      <c r="A377" s="34" t="n">
        <v>46237</v>
      </c>
      <c r="B377" s="28" t="s">
        <v>145</v>
      </c>
      <c r="C377" s="35" t="n">
        <v>8489</v>
      </c>
      <c r="D377" s="35" t="n">
        <v>470</v>
      </c>
      <c r="E377" s="35" t="n">
        <v>17</v>
      </c>
      <c r="F377" s="35" t="n">
        <v>26</v>
      </c>
      <c r="G377" s="35" t="n">
        <v>97530</v>
      </c>
      <c r="H377" s="35" t="n">
        <v>8249</v>
      </c>
      <c r="I377" s="28" t="str">
        <f aca="false">INDEX(Campaigns!$C$2:$C$31,MATCH(B377,Campaigns!$A$2:$A$31,0))</f>
        <v>Google Search Ads</v>
      </c>
      <c r="J377" s="40" t="n">
        <f aca="false">DATE(YEAR(A377),MONTH(A377),1)</f>
        <v>46235</v>
      </c>
    </row>
    <row r="378" customFormat="false" ht="15" hidden="false" customHeight="false" outlineLevel="0" collapsed="false">
      <c r="A378" s="34" t="n">
        <v>46237</v>
      </c>
      <c r="B378" s="28" t="s">
        <v>147</v>
      </c>
      <c r="C378" s="35" t="n">
        <v>24926</v>
      </c>
      <c r="D378" s="35" t="n">
        <v>337</v>
      </c>
      <c r="E378" s="35" t="n">
        <v>10</v>
      </c>
      <c r="F378" s="35" t="n">
        <v>1</v>
      </c>
      <c r="G378" s="35" t="n">
        <v>3720</v>
      </c>
      <c r="H378" s="35" t="n">
        <v>5717</v>
      </c>
      <c r="I378" s="28" t="str">
        <f aca="false">INDEX(Campaigns!$C$2:$C$31,MATCH(B378,Campaigns!$A$2:$A$31,0))</f>
        <v>Facebook &amp; Instagram Ads</v>
      </c>
      <c r="J378" s="40" t="n">
        <f aca="false">DATE(YEAR(A378),MONTH(A378),1)</f>
        <v>46235</v>
      </c>
    </row>
    <row r="379" customFormat="false" ht="15" hidden="false" customHeight="false" outlineLevel="0" collapsed="false">
      <c r="A379" s="34" t="n">
        <v>46237</v>
      </c>
      <c r="B379" s="28" t="s">
        <v>154</v>
      </c>
      <c r="C379" s="35" t="n">
        <v>5901</v>
      </c>
      <c r="D379" s="35" t="n">
        <v>62</v>
      </c>
      <c r="E379" s="35" t="n">
        <v>2</v>
      </c>
      <c r="F379" s="35" t="n">
        <v>1</v>
      </c>
      <c r="G379" s="35" t="n">
        <v>3790</v>
      </c>
      <c r="H379" s="35" t="n">
        <v>3389</v>
      </c>
      <c r="I379" s="28" t="str">
        <f aca="false">INDEX(Campaigns!$C$2:$C$31,MATCH(B379,Campaigns!$A$2:$A$31,0))</f>
        <v>Influencer Partnerships</v>
      </c>
      <c r="J379" s="40" t="n">
        <f aca="false">DATE(YEAR(A379),MONTH(A379),1)</f>
        <v>46235</v>
      </c>
    </row>
    <row r="380" customFormat="false" ht="15" hidden="false" customHeight="false" outlineLevel="0" collapsed="false">
      <c r="A380" s="34" t="n">
        <v>46237</v>
      </c>
      <c r="B380" s="28" t="s">
        <v>159</v>
      </c>
      <c r="C380" s="35" t="n">
        <v>27096</v>
      </c>
      <c r="D380" s="35" t="n">
        <v>387</v>
      </c>
      <c r="E380" s="35" t="n">
        <v>59</v>
      </c>
      <c r="F380" s="35" t="n">
        <v>8</v>
      </c>
      <c r="G380" s="35" t="n">
        <v>30170</v>
      </c>
      <c r="H380" s="35" t="n">
        <v>6389</v>
      </c>
      <c r="I380" s="28" t="str">
        <f aca="false">INDEX(Campaigns!$C$2:$C$31,MATCH(B380,Campaigns!$A$2:$A$31,0))</f>
        <v>Facebook &amp; Instagram Ads</v>
      </c>
      <c r="J380" s="40" t="n">
        <f aca="false">DATE(YEAR(A380),MONTH(A380),1)</f>
        <v>46235</v>
      </c>
    </row>
    <row r="381" customFormat="false" ht="15" hidden="false" customHeight="false" outlineLevel="0" collapsed="false">
      <c r="A381" s="34" t="n">
        <v>46237</v>
      </c>
      <c r="B381" s="28" t="s">
        <v>161</v>
      </c>
      <c r="C381" s="35" t="n">
        <v>40203</v>
      </c>
      <c r="D381" s="35" t="n">
        <v>512</v>
      </c>
      <c r="E381" s="35" t="n">
        <v>10</v>
      </c>
      <c r="F381" s="35" t="n">
        <v>1</v>
      </c>
      <c r="G381" s="35" t="n">
        <v>3410</v>
      </c>
      <c r="H381" s="35" t="n">
        <v>11104</v>
      </c>
      <c r="I381" s="28" t="str">
        <f aca="false">INDEX(Campaigns!$C$2:$C$31,MATCH(B381,Campaigns!$A$2:$A$31,0))</f>
        <v>Facebook &amp; Instagram Ads</v>
      </c>
      <c r="J381" s="40" t="n">
        <f aca="false">DATE(YEAR(A381),MONTH(A381),1)</f>
        <v>46235</v>
      </c>
    </row>
    <row r="382" customFormat="false" ht="15" hidden="false" customHeight="false" outlineLevel="0" collapsed="false">
      <c r="A382" s="34" t="n">
        <v>46237</v>
      </c>
      <c r="B382" s="28" t="s">
        <v>163</v>
      </c>
      <c r="C382" s="35" t="n">
        <v>1363</v>
      </c>
      <c r="D382" s="35" t="n">
        <v>31</v>
      </c>
      <c r="E382" s="35" t="n">
        <v>2</v>
      </c>
      <c r="F382" s="35" t="n">
        <v>4</v>
      </c>
      <c r="G382" s="35" t="n">
        <v>12150</v>
      </c>
      <c r="H382" s="35" t="n">
        <v>481</v>
      </c>
      <c r="I382" s="28" t="str">
        <f aca="false">INDEX(Campaigns!$C$2:$C$31,MATCH(B382,Campaigns!$A$2:$A$31,0))</f>
        <v>Email</v>
      </c>
      <c r="J382" s="40" t="n">
        <f aca="false">DATE(YEAR(A382),MONTH(A382),1)</f>
        <v>46235</v>
      </c>
    </row>
    <row r="383" customFormat="false" ht="15" hidden="false" customHeight="false" outlineLevel="0" collapsed="false">
      <c r="A383" s="34" t="n">
        <v>46238</v>
      </c>
      <c r="B383" s="28" t="s">
        <v>105</v>
      </c>
      <c r="C383" s="35" t="n">
        <v>4943</v>
      </c>
      <c r="D383" s="35" t="n">
        <v>193</v>
      </c>
      <c r="E383" s="35" t="n">
        <v>8</v>
      </c>
      <c r="F383" s="35" t="n">
        <v>5</v>
      </c>
      <c r="G383" s="35" t="n">
        <v>20140</v>
      </c>
      <c r="H383" s="35" t="n">
        <v>4701</v>
      </c>
      <c r="I383" s="28" t="str">
        <f aca="false">INDEX(Campaigns!$C$2:$C$31,MATCH(B383,Campaigns!$A$2:$A$31,0))</f>
        <v>Google Search Ads</v>
      </c>
      <c r="J383" s="40" t="n">
        <f aca="false">DATE(YEAR(A383),MONTH(A383),1)</f>
        <v>46235</v>
      </c>
    </row>
    <row r="384" customFormat="false" ht="15" hidden="false" customHeight="false" outlineLevel="0" collapsed="false">
      <c r="A384" s="34" t="n">
        <v>46238</v>
      </c>
      <c r="B384" s="28" t="s">
        <v>108</v>
      </c>
      <c r="C384" s="35" t="n">
        <v>5724</v>
      </c>
      <c r="D384" s="35" t="n">
        <v>187</v>
      </c>
      <c r="E384" s="35" t="n">
        <v>7</v>
      </c>
      <c r="F384" s="35" t="n">
        <v>11</v>
      </c>
      <c r="G384" s="35" t="n">
        <v>29620</v>
      </c>
      <c r="H384" s="35" t="n">
        <v>2213</v>
      </c>
      <c r="I384" s="28" t="str">
        <f aca="false">INDEX(Campaigns!$C$2:$C$31,MATCH(B384,Campaigns!$A$2:$A$31,0))</f>
        <v>Email</v>
      </c>
      <c r="J384" s="40" t="n">
        <f aca="false">DATE(YEAR(A384),MONTH(A384),1)</f>
        <v>46235</v>
      </c>
    </row>
    <row r="385" customFormat="false" ht="15" hidden="false" customHeight="false" outlineLevel="0" collapsed="false">
      <c r="A385" s="34" t="n">
        <v>46238</v>
      </c>
      <c r="B385" s="28" t="s">
        <v>112</v>
      </c>
      <c r="C385" s="35" t="n">
        <v>1184</v>
      </c>
      <c r="D385" s="35" t="n">
        <v>68</v>
      </c>
      <c r="E385" s="35" t="n">
        <v>3</v>
      </c>
      <c r="F385" s="35" t="n">
        <v>3</v>
      </c>
      <c r="G385" s="35" t="n">
        <v>7420</v>
      </c>
      <c r="H385" s="35" t="n">
        <v>1643</v>
      </c>
      <c r="I385" s="28" t="str">
        <f aca="false">INDEX(Campaigns!$C$2:$C$31,MATCH(B385,Campaigns!$A$2:$A$31,0))</f>
        <v>WhatsApp Broadcast</v>
      </c>
      <c r="J385" s="40" t="n">
        <f aca="false">DATE(YEAR(A385),MONTH(A385),1)</f>
        <v>46235</v>
      </c>
    </row>
    <row r="386" customFormat="false" ht="15" hidden="false" customHeight="false" outlineLevel="0" collapsed="false">
      <c r="A386" s="34" t="n">
        <v>46238</v>
      </c>
      <c r="B386" s="28" t="s">
        <v>114</v>
      </c>
      <c r="C386" s="35" t="n">
        <v>591</v>
      </c>
      <c r="D386" s="35" t="n">
        <v>41</v>
      </c>
      <c r="E386" s="35" t="n">
        <v>4</v>
      </c>
      <c r="F386" s="35" t="n">
        <v>2</v>
      </c>
      <c r="G386" s="35" t="n">
        <v>6150</v>
      </c>
      <c r="H386" s="35" t="n">
        <v>871</v>
      </c>
      <c r="I386" s="28" t="str">
        <f aca="false">INDEX(Campaigns!$C$2:$C$31,MATCH(B386,Campaigns!$A$2:$A$31,0))</f>
        <v>WhatsApp Broadcast</v>
      </c>
      <c r="J386" s="40" t="n">
        <f aca="false">DATE(YEAR(A386),MONTH(A386),1)</f>
        <v>46235</v>
      </c>
    </row>
    <row r="387" customFormat="false" ht="15" hidden="false" customHeight="false" outlineLevel="0" collapsed="false">
      <c r="A387" s="34" t="n">
        <v>46238</v>
      </c>
      <c r="B387" s="28" t="s">
        <v>116</v>
      </c>
      <c r="C387" s="35" t="n">
        <v>22562</v>
      </c>
      <c r="D387" s="35" t="n">
        <v>261</v>
      </c>
      <c r="E387" s="35" t="n">
        <v>7</v>
      </c>
      <c r="F387" s="35" t="n">
        <v>6</v>
      </c>
      <c r="G387" s="35" t="n">
        <v>16600</v>
      </c>
      <c r="H387" s="35" t="n">
        <v>5498</v>
      </c>
      <c r="I387" s="28" t="str">
        <f aca="false">INDEX(Campaigns!$C$2:$C$31,MATCH(B387,Campaigns!$A$2:$A$31,0))</f>
        <v>Facebook &amp; Instagram Ads</v>
      </c>
      <c r="J387" s="40" t="n">
        <f aca="false">DATE(YEAR(A387),MONTH(A387),1)</f>
        <v>46235</v>
      </c>
    </row>
    <row r="388" customFormat="false" ht="15" hidden="false" customHeight="false" outlineLevel="0" collapsed="false">
      <c r="A388" s="34" t="n">
        <v>46238</v>
      </c>
      <c r="B388" s="28" t="s">
        <v>118</v>
      </c>
      <c r="C388" s="35" t="n">
        <v>2963</v>
      </c>
      <c r="D388" s="35" t="n">
        <v>157</v>
      </c>
      <c r="E388" s="35" t="n">
        <v>7</v>
      </c>
      <c r="F388" s="35" t="n">
        <v>11</v>
      </c>
      <c r="G388" s="35" t="n">
        <v>41340</v>
      </c>
      <c r="H388" s="35" t="n">
        <v>2695</v>
      </c>
      <c r="I388" s="28" t="str">
        <f aca="false">INDEX(Campaigns!$C$2:$C$31,MATCH(B388,Campaigns!$A$2:$A$31,0))</f>
        <v>Google Search Ads</v>
      </c>
      <c r="J388" s="40" t="n">
        <f aca="false">DATE(YEAR(A388),MONTH(A388),1)</f>
        <v>46235</v>
      </c>
    </row>
    <row r="389" customFormat="false" ht="15" hidden="false" customHeight="false" outlineLevel="0" collapsed="false">
      <c r="A389" s="34" t="n">
        <v>46238</v>
      </c>
      <c r="B389" s="28" t="s">
        <v>122</v>
      </c>
      <c r="C389" s="35" t="n">
        <v>150416</v>
      </c>
      <c r="D389" s="35" t="n">
        <v>1214</v>
      </c>
      <c r="E389" s="35" t="n">
        <v>38</v>
      </c>
      <c r="F389" s="35" t="n">
        <v>11</v>
      </c>
      <c r="G389" s="35" t="n">
        <v>25360</v>
      </c>
      <c r="H389" s="35" t="n">
        <v>26728</v>
      </c>
      <c r="I389" s="28" t="str">
        <f aca="false">INDEX(Campaigns!$C$2:$C$31,MATCH(B389,Campaigns!$A$2:$A$31,0))</f>
        <v>TikTok Ads</v>
      </c>
      <c r="J389" s="40" t="n">
        <f aca="false">DATE(YEAR(A389),MONTH(A389),1)</f>
        <v>46235</v>
      </c>
    </row>
    <row r="390" customFormat="false" ht="15" hidden="false" customHeight="false" outlineLevel="0" collapsed="false">
      <c r="A390" s="34" t="n">
        <v>46238</v>
      </c>
      <c r="B390" s="28" t="s">
        <v>124</v>
      </c>
      <c r="C390" s="35" t="n">
        <v>7458</v>
      </c>
      <c r="D390" s="35" t="n">
        <v>174</v>
      </c>
      <c r="E390" s="35" t="n">
        <v>6</v>
      </c>
      <c r="F390" s="35" t="n">
        <v>5</v>
      </c>
      <c r="G390" s="35" t="n">
        <v>13470</v>
      </c>
      <c r="H390" s="35" t="n">
        <v>2602</v>
      </c>
      <c r="I390" s="28" t="str">
        <f aca="false">INDEX(Campaigns!$C$2:$C$31,MATCH(B390,Campaigns!$A$2:$A$31,0))</f>
        <v>Email</v>
      </c>
      <c r="J390" s="40" t="n">
        <f aca="false">DATE(YEAR(A390),MONTH(A390),1)</f>
        <v>46235</v>
      </c>
    </row>
    <row r="391" customFormat="false" ht="15" hidden="false" customHeight="false" outlineLevel="0" collapsed="false">
      <c r="A391" s="34" t="n">
        <v>46238</v>
      </c>
      <c r="B391" s="28" t="s">
        <v>126</v>
      </c>
      <c r="C391" s="35" t="n">
        <v>15357</v>
      </c>
      <c r="D391" s="35" t="n">
        <v>96</v>
      </c>
      <c r="E391" s="35" t="n">
        <v>6</v>
      </c>
      <c r="F391" s="35" t="n">
        <v>1</v>
      </c>
      <c r="G391" s="35" t="n">
        <v>3000</v>
      </c>
      <c r="H391" s="35" t="n">
        <v>2758</v>
      </c>
      <c r="I391" s="28" t="str">
        <f aca="false">INDEX(Campaigns!$C$2:$C$31,MATCH(B391,Campaigns!$A$2:$A$31,0))</f>
        <v>TikTok Ads</v>
      </c>
      <c r="J391" s="40" t="n">
        <f aca="false">DATE(YEAR(A391),MONTH(A391),1)</f>
        <v>46235</v>
      </c>
    </row>
    <row r="392" customFormat="false" ht="15" hidden="false" customHeight="false" outlineLevel="0" collapsed="false">
      <c r="A392" s="34" t="n">
        <v>46238</v>
      </c>
      <c r="B392" s="28" t="s">
        <v>128</v>
      </c>
      <c r="C392" s="35" t="n">
        <v>26442</v>
      </c>
      <c r="D392" s="35" t="n">
        <v>1461</v>
      </c>
      <c r="E392" s="35" t="n">
        <v>52</v>
      </c>
      <c r="F392" s="35" t="n">
        <v>99</v>
      </c>
      <c r="G392" s="35" t="n">
        <v>356390</v>
      </c>
      <c r="H392" s="35" t="n">
        <v>22897</v>
      </c>
      <c r="I392" s="28" t="str">
        <f aca="false">INDEX(Campaigns!$C$2:$C$31,MATCH(B392,Campaigns!$A$2:$A$31,0))</f>
        <v>Google Search Ads</v>
      </c>
      <c r="J392" s="40" t="n">
        <f aca="false">DATE(YEAR(A392),MONTH(A392),1)</f>
        <v>46235</v>
      </c>
    </row>
    <row r="393" customFormat="false" ht="15" hidden="false" customHeight="false" outlineLevel="0" collapsed="false">
      <c r="A393" s="34" t="n">
        <v>46238</v>
      </c>
      <c r="B393" s="28" t="s">
        <v>134</v>
      </c>
      <c r="C393" s="35" t="n">
        <v>2320</v>
      </c>
      <c r="D393" s="35" t="n">
        <v>153</v>
      </c>
      <c r="E393" s="35" t="n">
        <v>7</v>
      </c>
      <c r="F393" s="35" t="n">
        <v>9</v>
      </c>
      <c r="G393" s="35" t="n">
        <v>27320</v>
      </c>
      <c r="H393" s="35" t="n">
        <v>2973</v>
      </c>
      <c r="I393" s="28" t="str">
        <f aca="false">INDEX(Campaigns!$C$2:$C$31,MATCH(B393,Campaigns!$A$2:$A$31,0))</f>
        <v>WhatsApp Broadcast</v>
      </c>
      <c r="J393" s="40" t="n">
        <f aca="false">DATE(YEAR(A393),MONTH(A393),1)</f>
        <v>46235</v>
      </c>
    </row>
    <row r="394" customFormat="false" ht="15" hidden="false" customHeight="false" outlineLevel="0" collapsed="false">
      <c r="A394" s="34" t="n">
        <v>46238</v>
      </c>
      <c r="B394" s="28" t="s">
        <v>136</v>
      </c>
      <c r="C394" s="35" t="n">
        <v>12725</v>
      </c>
      <c r="D394" s="35" t="n">
        <v>351</v>
      </c>
      <c r="E394" s="35" t="n">
        <v>11</v>
      </c>
      <c r="F394" s="35" t="n">
        <v>15</v>
      </c>
      <c r="G394" s="35" t="n">
        <v>48090</v>
      </c>
      <c r="H394" s="35" t="n">
        <v>4452</v>
      </c>
      <c r="I394" s="28" t="str">
        <f aca="false">INDEX(Campaigns!$C$2:$C$31,MATCH(B394,Campaigns!$A$2:$A$31,0))</f>
        <v>Email</v>
      </c>
      <c r="J394" s="40" t="n">
        <f aca="false">DATE(YEAR(A394),MONTH(A394),1)</f>
        <v>46235</v>
      </c>
    </row>
    <row r="395" customFormat="false" ht="15" hidden="false" customHeight="false" outlineLevel="0" collapsed="false">
      <c r="A395" s="34" t="n">
        <v>46238</v>
      </c>
      <c r="B395" s="28" t="s">
        <v>139</v>
      </c>
      <c r="C395" s="35" t="n">
        <v>15407</v>
      </c>
      <c r="D395" s="35" t="n">
        <v>153</v>
      </c>
      <c r="E395" s="35" t="n">
        <v>7</v>
      </c>
      <c r="F395" s="35" t="n">
        <v>2</v>
      </c>
      <c r="G395" s="35" t="n">
        <v>5960</v>
      </c>
      <c r="H395" s="35" t="n">
        <v>2710</v>
      </c>
      <c r="I395" s="28" t="str">
        <f aca="false">INDEX(Campaigns!$C$2:$C$31,MATCH(B395,Campaigns!$A$2:$A$31,0))</f>
        <v>TikTok Ads</v>
      </c>
      <c r="J395" s="40" t="n">
        <f aca="false">DATE(YEAR(A395),MONTH(A395),1)</f>
        <v>46235</v>
      </c>
    </row>
    <row r="396" customFormat="false" ht="15" hidden="false" customHeight="false" outlineLevel="0" collapsed="false">
      <c r="A396" s="34" t="n">
        <v>46238</v>
      </c>
      <c r="B396" s="28" t="s">
        <v>141</v>
      </c>
      <c r="C396" s="35" t="n">
        <v>7940</v>
      </c>
      <c r="D396" s="35" t="n">
        <v>284</v>
      </c>
      <c r="E396" s="35" t="n">
        <v>11</v>
      </c>
      <c r="F396" s="35" t="n">
        <v>9</v>
      </c>
      <c r="G396" s="35" t="n">
        <v>25740</v>
      </c>
      <c r="H396" s="35" t="n">
        <v>2612</v>
      </c>
      <c r="I396" s="28" t="str">
        <f aca="false">INDEX(Campaigns!$C$2:$C$31,MATCH(B396,Campaigns!$A$2:$A$31,0))</f>
        <v>Email</v>
      </c>
      <c r="J396" s="40" t="n">
        <f aca="false">DATE(YEAR(A396),MONTH(A396),1)</f>
        <v>46235</v>
      </c>
    </row>
    <row r="397" customFormat="false" ht="15" hidden="false" customHeight="false" outlineLevel="0" collapsed="false">
      <c r="A397" s="34" t="n">
        <v>46238</v>
      </c>
      <c r="B397" s="28" t="s">
        <v>145</v>
      </c>
      <c r="C397" s="35" t="n">
        <v>8661</v>
      </c>
      <c r="D397" s="35" t="n">
        <v>442</v>
      </c>
      <c r="E397" s="35" t="n">
        <v>16</v>
      </c>
      <c r="F397" s="35" t="n">
        <v>31</v>
      </c>
      <c r="G397" s="35" t="n">
        <v>118420</v>
      </c>
      <c r="H397" s="35" t="n">
        <v>8052</v>
      </c>
      <c r="I397" s="28" t="str">
        <f aca="false">INDEX(Campaigns!$C$2:$C$31,MATCH(B397,Campaigns!$A$2:$A$31,0))</f>
        <v>Google Search Ads</v>
      </c>
      <c r="J397" s="40" t="n">
        <f aca="false">DATE(YEAR(A397),MONTH(A397),1)</f>
        <v>46235</v>
      </c>
    </row>
    <row r="398" customFormat="false" ht="15" hidden="false" customHeight="false" outlineLevel="0" collapsed="false">
      <c r="A398" s="34" t="n">
        <v>46238</v>
      </c>
      <c r="B398" s="28" t="s">
        <v>147</v>
      </c>
      <c r="C398" s="35" t="n">
        <v>23807</v>
      </c>
      <c r="D398" s="35" t="n">
        <v>327</v>
      </c>
      <c r="E398" s="35" t="n">
        <v>4</v>
      </c>
      <c r="F398" s="35" t="n">
        <v>0</v>
      </c>
      <c r="G398" s="35" t="n">
        <v>0</v>
      </c>
      <c r="H398" s="35" t="n">
        <v>6283</v>
      </c>
      <c r="I398" s="28" t="str">
        <f aca="false">INDEX(Campaigns!$C$2:$C$31,MATCH(B398,Campaigns!$A$2:$A$31,0))</f>
        <v>Facebook &amp; Instagram Ads</v>
      </c>
      <c r="J398" s="40" t="n">
        <f aca="false">DATE(YEAR(A398),MONTH(A398),1)</f>
        <v>46235</v>
      </c>
    </row>
    <row r="399" customFormat="false" ht="15" hidden="false" customHeight="false" outlineLevel="0" collapsed="false">
      <c r="A399" s="34" t="n">
        <v>46238</v>
      </c>
      <c r="B399" s="28" t="s">
        <v>154</v>
      </c>
      <c r="C399" s="35" t="n">
        <v>4841</v>
      </c>
      <c r="D399" s="35" t="n">
        <v>45</v>
      </c>
      <c r="E399" s="35" t="n">
        <v>2</v>
      </c>
      <c r="F399" s="35" t="n">
        <v>0</v>
      </c>
      <c r="G399" s="35" t="n">
        <v>0</v>
      </c>
      <c r="H399" s="35" t="n">
        <v>3167</v>
      </c>
      <c r="I399" s="28" t="str">
        <f aca="false">INDEX(Campaigns!$C$2:$C$31,MATCH(B399,Campaigns!$A$2:$A$31,0))</f>
        <v>Influencer Partnerships</v>
      </c>
      <c r="J399" s="40" t="n">
        <f aca="false">DATE(YEAR(A399),MONTH(A399),1)</f>
        <v>46235</v>
      </c>
    </row>
    <row r="400" customFormat="false" ht="15" hidden="false" customHeight="false" outlineLevel="0" collapsed="false">
      <c r="A400" s="34" t="n">
        <v>46238</v>
      </c>
      <c r="B400" s="28" t="s">
        <v>156</v>
      </c>
      <c r="C400" s="35" t="n">
        <v>50048</v>
      </c>
      <c r="D400" s="35" t="n">
        <v>455</v>
      </c>
      <c r="E400" s="35" t="n">
        <v>73</v>
      </c>
      <c r="F400" s="35" t="n">
        <v>13</v>
      </c>
      <c r="G400" s="35" t="n">
        <v>30510</v>
      </c>
      <c r="H400" s="35" t="n">
        <v>8570</v>
      </c>
      <c r="I400" s="28" t="str">
        <f aca="false">INDEX(Campaigns!$C$2:$C$31,MATCH(B400,Campaigns!$A$2:$A$31,0))</f>
        <v>TikTok Ads</v>
      </c>
      <c r="J400" s="40" t="n">
        <f aca="false">DATE(YEAR(A400),MONTH(A400),1)</f>
        <v>46235</v>
      </c>
    </row>
    <row r="401" customFormat="false" ht="15" hidden="false" customHeight="false" outlineLevel="0" collapsed="false">
      <c r="A401" s="34" t="n">
        <v>46238</v>
      </c>
      <c r="B401" s="28" t="s">
        <v>159</v>
      </c>
      <c r="C401" s="35" t="n">
        <v>28460</v>
      </c>
      <c r="D401" s="35" t="n">
        <v>413</v>
      </c>
      <c r="E401" s="35" t="n">
        <v>52</v>
      </c>
      <c r="F401" s="35" t="n">
        <v>8</v>
      </c>
      <c r="G401" s="35" t="n">
        <v>22330</v>
      </c>
      <c r="H401" s="35" t="n">
        <v>7184</v>
      </c>
      <c r="I401" s="28" t="str">
        <f aca="false">INDEX(Campaigns!$C$2:$C$31,MATCH(B401,Campaigns!$A$2:$A$31,0))</f>
        <v>Facebook &amp; Instagram Ads</v>
      </c>
      <c r="J401" s="40" t="n">
        <f aca="false">DATE(YEAR(A401),MONTH(A401),1)</f>
        <v>46235</v>
      </c>
    </row>
    <row r="402" customFormat="false" ht="15" hidden="false" customHeight="false" outlineLevel="0" collapsed="false">
      <c r="A402" s="34" t="n">
        <v>46238</v>
      </c>
      <c r="B402" s="28" t="s">
        <v>161</v>
      </c>
      <c r="C402" s="35" t="n">
        <v>37165</v>
      </c>
      <c r="D402" s="35" t="n">
        <v>469</v>
      </c>
      <c r="E402" s="35" t="n">
        <v>11</v>
      </c>
      <c r="F402" s="35" t="n">
        <v>2</v>
      </c>
      <c r="G402" s="35" t="n">
        <v>5020</v>
      </c>
      <c r="H402" s="35" t="n">
        <v>10271</v>
      </c>
      <c r="I402" s="28" t="str">
        <f aca="false">INDEX(Campaigns!$C$2:$C$31,MATCH(B402,Campaigns!$A$2:$A$31,0))</f>
        <v>Facebook &amp; Instagram Ads</v>
      </c>
      <c r="J402" s="40" t="n">
        <f aca="false">DATE(YEAR(A402),MONTH(A402),1)</f>
        <v>46235</v>
      </c>
    </row>
    <row r="403" customFormat="false" ht="15" hidden="false" customHeight="false" outlineLevel="0" collapsed="false">
      <c r="A403" s="34" t="n">
        <v>46238</v>
      </c>
      <c r="B403" s="28" t="s">
        <v>163</v>
      </c>
      <c r="C403" s="35" t="n">
        <v>1472</v>
      </c>
      <c r="D403" s="35" t="n">
        <v>53</v>
      </c>
      <c r="E403" s="35" t="n">
        <v>1</v>
      </c>
      <c r="F403" s="35" t="n">
        <v>2</v>
      </c>
      <c r="G403" s="35" t="n">
        <v>4590</v>
      </c>
      <c r="H403" s="35" t="n">
        <v>540</v>
      </c>
      <c r="I403" s="28" t="str">
        <f aca="false">INDEX(Campaigns!$C$2:$C$31,MATCH(B403,Campaigns!$A$2:$A$31,0))</f>
        <v>Email</v>
      </c>
      <c r="J403" s="40" t="n">
        <f aca="false">DATE(YEAR(A403),MONTH(A403),1)</f>
        <v>46235</v>
      </c>
    </row>
    <row r="404" customFormat="false" ht="15" hidden="false" customHeight="false" outlineLevel="0" collapsed="false">
      <c r="A404" s="34" t="n">
        <v>46239</v>
      </c>
      <c r="B404" s="28" t="s">
        <v>105</v>
      </c>
      <c r="C404" s="35" t="n">
        <v>5941</v>
      </c>
      <c r="D404" s="35" t="n">
        <v>242</v>
      </c>
      <c r="E404" s="35" t="n">
        <v>10</v>
      </c>
      <c r="F404" s="35" t="n">
        <v>3</v>
      </c>
      <c r="G404" s="35" t="n">
        <v>11000</v>
      </c>
      <c r="H404" s="35" t="n">
        <v>5060</v>
      </c>
      <c r="I404" s="28" t="str">
        <f aca="false">INDEX(Campaigns!$C$2:$C$31,MATCH(B404,Campaigns!$A$2:$A$31,0))</f>
        <v>Google Search Ads</v>
      </c>
      <c r="J404" s="40" t="n">
        <f aca="false">DATE(YEAR(A404),MONTH(A404),1)</f>
        <v>46235</v>
      </c>
    </row>
    <row r="405" customFormat="false" ht="15" hidden="false" customHeight="false" outlineLevel="0" collapsed="false">
      <c r="A405" s="34" t="n">
        <v>46239</v>
      </c>
      <c r="B405" s="28" t="s">
        <v>108</v>
      </c>
      <c r="C405" s="35" t="n">
        <v>6210</v>
      </c>
      <c r="D405" s="35" t="n">
        <v>214</v>
      </c>
      <c r="E405" s="35" t="n">
        <v>9</v>
      </c>
      <c r="F405" s="35" t="n">
        <v>12</v>
      </c>
      <c r="G405" s="35" t="n">
        <v>33690</v>
      </c>
      <c r="H405" s="35" t="n">
        <v>2045</v>
      </c>
      <c r="I405" s="28" t="str">
        <f aca="false">INDEX(Campaigns!$C$2:$C$31,MATCH(B405,Campaigns!$A$2:$A$31,0))</f>
        <v>Email</v>
      </c>
      <c r="J405" s="40" t="n">
        <f aca="false">DATE(YEAR(A405),MONTH(A405),1)</f>
        <v>46235</v>
      </c>
    </row>
    <row r="406" customFormat="false" ht="15" hidden="false" customHeight="false" outlineLevel="0" collapsed="false">
      <c r="A406" s="34" t="n">
        <v>46239</v>
      </c>
      <c r="B406" s="28" t="s">
        <v>112</v>
      </c>
      <c r="C406" s="35" t="n">
        <v>1005</v>
      </c>
      <c r="D406" s="35" t="n">
        <v>50</v>
      </c>
      <c r="E406" s="35" t="n">
        <v>3</v>
      </c>
      <c r="F406" s="35" t="n">
        <v>2</v>
      </c>
      <c r="G406" s="35" t="n">
        <v>4160</v>
      </c>
      <c r="H406" s="35" t="n">
        <v>1492</v>
      </c>
      <c r="I406" s="28" t="str">
        <f aca="false">INDEX(Campaigns!$C$2:$C$31,MATCH(B406,Campaigns!$A$2:$A$31,0))</f>
        <v>WhatsApp Broadcast</v>
      </c>
      <c r="J406" s="40" t="n">
        <f aca="false">DATE(YEAR(A406),MONTH(A406),1)</f>
        <v>46235</v>
      </c>
    </row>
    <row r="407" customFormat="false" ht="15" hidden="false" customHeight="false" outlineLevel="0" collapsed="false">
      <c r="A407" s="34" t="n">
        <v>46239</v>
      </c>
      <c r="B407" s="28" t="s">
        <v>114</v>
      </c>
      <c r="C407" s="35" t="n">
        <v>836</v>
      </c>
      <c r="D407" s="35" t="n">
        <v>54</v>
      </c>
      <c r="E407" s="35" t="n">
        <v>1</v>
      </c>
      <c r="F407" s="35" t="n">
        <v>3</v>
      </c>
      <c r="G407" s="35" t="n">
        <v>8460</v>
      </c>
      <c r="H407" s="35" t="n">
        <v>1093</v>
      </c>
      <c r="I407" s="28" t="str">
        <f aca="false">INDEX(Campaigns!$C$2:$C$31,MATCH(B407,Campaigns!$A$2:$A$31,0))</f>
        <v>WhatsApp Broadcast</v>
      </c>
      <c r="J407" s="40" t="n">
        <f aca="false">DATE(YEAR(A407),MONTH(A407),1)</f>
        <v>46235</v>
      </c>
    </row>
    <row r="408" customFormat="false" ht="15" hidden="false" customHeight="false" outlineLevel="0" collapsed="false">
      <c r="A408" s="34" t="n">
        <v>46239</v>
      </c>
      <c r="B408" s="28" t="s">
        <v>118</v>
      </c>
      <c r="C408" s="35" t="n">
        <v>3124</v>
      </c>
      <c r="D408" s="35" t="n">
        <v>161</v>
      </c>
      <c r="E408" s="35" t="n">
        <v>11</v>
      </c>
      <c r="F408" s="35" t="n">
        <v>10</v>
      </c>
      <c r="G408" s="35" t="n">
        <v>39990</v>
      </c>
      <c r="H408" s="35" t="n">
        <v>2581</v>
      </c>
      <c r="I408" s="28" t="str">
        <f aca="false">INDEX(Campaigns!$C$2:$C$31,MATCH(B408,Campaigns!$A$2:$A$31,0))</f>
        <v>Google Search Ads</v>
      </c>
      <c r="J408" s="40" t="n">
        <f aca="false">DATE(YEAR(A408),MONTH(A408),1)</f>
        <v>46235</v>
      </c>
    </row>
    <row r="409" customFormat="false" ht="15" hidden="false" customHeight="false" outlineLevel="0" collapsed="false">
      <c r="A409" s="34" t="n">
        <v>46239</v>
      </c>
      <c r="B409" s="28" t="s">
        <v>122</v>
      </c>
      <c r="C409" s="35" t="n">
        <v>121011</v>
      </c>
      <c r="D409" s="35" t="n">
        <v>945</v>
      </c>
      <c r="E409" s="35" t="n">
        <v>33</v>
      </c>
      <c r="F409" s="35" t="n">
        <v>10</v>
      </c>
      <c r="G409" s="35" t="n">
        <v>27040</v>
      </c>
      <c r="H409" s="35" t="n">
        <v>20864</v>
      </c>
      <c r="I409" s="28" t="str">
        <f aca="false">INDEX(Campaigns!$C$2:$C$31,MATCH(B409,Campaigns!$A$2:$A$31,0))</f>
        <v>TikTok Ads</v>
      </c>
      <c r="J409" s="40" t="n">
        <f aca="false">DATE(YEAR(A409),MONTH(A409),1)</f>
        <v>46235</v>
      </c>
    </row>
    <row r="410" customFormat="false" ht="15" hidden="false" customHeight="false" outlineLevel="0" collapsed="false">
      <c r="A410" s="34" t="n">
        <v>46239</v>
      </c>
      <c r="B410" s="28" t="s">
        <v>124</v>
      </c>
      <c r="C410" s="35" t="n">
        <v>6913</v>
      </c>
      <c r="D410" s="35" t="n">
        <v>131</v>
      </c>
      <c r="E410" s="35" t="n">
        <v>5</v>
      </c>
      <c r="F410" s="35" t="n">
        <v>3</v>
      </c>
      <c r="G410" s="35" t="n">
        <v>9750</v>
      </c>
      <c r="H410" s="35" t="n">
        <v>2316</v>
      </c>
      <c r="I410" s="28" t="str">
        <f aca="false">INDEX(Campaigns!$C$2:$C$31,MATCH(B410,Campaigns!$A$2:$A$31,0))</f>
        <v>Email</v>
      </c>
      <c r="J410" s="40" t="n">
        <f aca="false">DATE(YEAR(A410),MONTH(A410),1)</f>
        <v>46235</v>
      </c>
    </row>
    <row r="411" customFormat="false" ht="15" hidden="false" customHeight="false" outlineLevel="0" collapsed="false">
      <c r="A411" s="34" t="n">
        <v>46239</v>
      </c>
      <c r="B411" s="28" t="s">
        <v>126</v>
      </c>
      <c r="C411" s="35" t="n">
        <v>15172</v>
      </c>
      <c r="D411" s="35" t="n">
        <v>91</v>
      </c>
      <c r="E411" s="35" t="n">
        <v>3</v>
      </c>
      <c r="F411" s="35" t="n">
        <v>1</v>
      </c>
      <c r="G411" s="35" t="n">
        <v>2610</v>
      </c>
      <c r="H411" s="35" t="n">
        <v>2656</v>
      </c>
      <c r="I411" s="28" t="str">
        <f aca="false">INDEX(Campaigns!$C$2:$C$31,MATCH(B411,Campaigns!$A$2:$A$31,0))</f>
        <v>TikTok Ads</v>
      </c>
      <c r="J411" s="40" t="n">
        <f aca="false">DATE(YEAR(A411),MONTH(A411),1)</f>
        <v>46235</v>
      </c>
    </row>
    <row r="412" customFormat="false" ht="15" hidden="false" customHeight="false" outlineLevel="0" collapsed="false">
      <c r="A412" s="34" t="n">
        <v>46239</v>
      </c>
      <c r="B412" s="28" t="s">
        <v>128</v>
      </c>
      <c r="C412" s="35" t="n">
        <v>23540</v>
      </c>
      <c r="D412" s="35" t="n">
        <v>1339</v>
      </c>
      <c r="E412" s="35" t="n">
        <v>54</v>
      </c>
      <c r="F412" s="35" t="n">
        <v>86</v>
      </c>
      <c r="G412" s="35" t="n">
        <v>317240</v>
      </c>
      <c r="H412" s="35" t="n">
        <v>22270</v>
      </c>
      <c r="I412" s="28" t="str">
        <f aca="false">INDEX(Campaigns!$C$2:$C$31,MATCH(B412,Campaigns!$A$2:$A$31,0))</f>
        <v>Google Search Ads</v>
      </c>
      <c r="J412" s="40" t="n">
        <f aca="false">DATE(YEAR(A412),MONTH(A412),1)</f>
        <v>46235</v>
      </c>
    </row>
    <row r="413" customFormat="false" ht="15" hidden="false" customHeight="false" outlineLevel="0" collapsed="false">
      <c r="A413" s="34" t="n">
        <v>46239</v>
      </c>
      <c r="B413" s="28" t="s">
        <v>134</v>
      </c>
      <c r="C413" s="35" t="n">
        <v>2630</v>
      </c>
      <c r="D413" s="35" t="n">
        <v>165</v>
      </c>
      <c r="E413" s="35" t="n">
        <v>10</v>
      </c>
      <c r="F413" s="35" t="n">
        <v>13</v>
      </c>
      <c r="G413" s="35" t="n">
        <v>36750</v>
      </c>
      <c r="H413" s="35" t="n">
        <v>3363</v>
      </c>
      <c r="I413" s="28" t="str">
        <f aca="false">INDEX(Campaigns!$C$2:$C$31,MATCH(B413,Campaigns!$A$2:$A$31,0))</f>
        <v>WhatsApp Broadcast</v>
      </c>
      <c r="J413" s="40" t="n">
        <f aca="false">DATE(YEAR(A413),MONTH(A413),1)</f>
        <v>46235</v>
      </c>
    </row>
    <row r="414" customFormat="false" ht="15" hidden="false" customHeight="false" outlineLevel="0" collapsed="false">
      <c r="A414" s="34" t="n">
        <v>46239</v>
      </c>
      <c r="B414" s="28" t="s">
        <v>136</v>
      </c>
      <c r="C414" s="35" t="n">
        <v>10161</v>
      </c>
      <c r="D414" s="35" t="n">
        <v>308</v>
      </c>
      <c r="E414" s="35" t="n">
        <v>13</v>
      </c>
      <c r="F414" s="35" t="n">
        <v>10</v>
      </c>
      <c r="G414" s="35" t="n">
        <v>30300</v>
      </c>
      <c r="H414" s="35" t="n">
        <v>3663</v>
      </c>
      <c r="I414" s="28" t="str">
        <f aca="false">INDEX(Campaigns!$C$2:$C$31,MATCH(B414,Campaigns!$A$2:$A$31,0))</f>
        <v>Email</v>
      </c>
      <c r="J414" s="40" t="n">
        <f aca="false">DATE(YEAR(A414),MONTH(A414),1)</f>
        <v>46235</v>
      </c>
    </row>
    <row r="415" customFormat="false" ht="15" hidden="false" customHeight="false" outlineLevel="0" collapsed="false">
      <c r="A415" s="34" t="n">
        <v>46239</v>
      </c>
      <c r="B415" s="28" t="s">
        <v>139</v>
      </c>
      <c r="C415" s="35" t="n">
        <v>16103</v>
      </c>
      <c r="D415" s="35" t="n">
        <v>162</v>
      </c>
      <c r="E415" s="35" t="n">
        <v>8</v>
      </c>
      <c r="F415" s="35" t="n">
        <v>3</v>
      </c>
      <c r="G415" s="35" t="n">
        <v>7270</v>
      </c>
      <c r="H415" s="35" t="n">
        <v>3168</v>
      </c>
      <c r="I415" s="28" t="str">
        <f aca="false">INDEX(Campaigns!$C$2:$C$31,MATCH(B415,Campaigns!$A$2:$A$31,0))</f>
        <v>TikTok Ads</v>
      </c>
      <c r="J415" s="40" t="n">
        <f aca="false">DATE(YEAR(A415),MONTH(A415),1)</f>
        <v>46235</v>
      </c>
    </row>
    <row r="416" customFormat="false" ht="15" hidden="false" customHeight="false" outlineLevel="0" collapsed="false">
      <c r="A416" s="34" t="n">
        <v>46239</v>
      </c>
      <c r="B416" s="28" t="s">
        <v>141</v>
      </c>
      <c r="C416" s="35" t="n">
        <v>6142</v>
      </c>
      <c r="D416" s="35" t="n">
        <v>206</v>
      </c>
      <c r="E416" s="35" t="n">
        <v>7</v>
      </c>
      <c r="F416" s="35" t="n">
        <v>13</v>
      </c>
      <c r="G416" s="35" t="n">
        <v>39270</v>
      </c>
      <c r="H416" s="35" t="n">
        <v>2183</v>
      </c>
      <c r="I416" s="28" t="str">
        <f aca="false">INDEX(Campaigns!$C$2:$C$31,MATCH(B416,Campaigns!$A$2:$A$31,0))</f>
        <v>Email</v>
      </c>
      <c r="J416" s="40" t="n">
        <f aca="false">DATE(YEAR(A416),MONTH(A416),1)</f>
        <v>46235</v>
      </c>
    </row>
    <row r="417" customFormat="false" ht="15" hidden="false" customHeight="false" outlineLevel="0" collapsed="false">
      <c r="A417" s="34" t="n">
        <v>46239</v>
      </c>
      <c r="B417" s="28" t="s">
        <v>145</v>
      </c>
      <c r="C417" s="35" t="n">
        <v>9558</v>
      </c>
      <c r="D417" s="35" t="n">
        <v>518</v>
      </c>
      <c r="E417" s="35" t="n">
        <v>23</v>
      </c>
      <c r="F417" s="35" t="n">
        <v>21</v>
      </c>
      <c r="G417" s="35" t="n">
        <v>83830</v>
      </c>
      <c r="H417" s="35" t="n">
        <v>8214</v>
      </c>
      <c r="I417" s="28" t="str">
        <f aca="false">INDEX(Campaigns!$C$2:$C$31,MATCH(B417,Campaigns!$A$2:$A$31,0))</f>
        <v>Google Search Ads</v>
      </c>
      <c r="J417" s="40" t="n">
        <f aca="false">DATE(YEAR(A417),MONTH(A417),1)</f>
        <v>46235</v>
      </c>
    </row>
    <row r="418" customFormat="false" ht="15" hidden="false" customHeight="false" outlineLevel="0" collapsed="false">
      <c r="A418" s="34" t="n">
        <v>46239</v>
      </c>
      <c r="B418" s="28" t="s">
        <v>147</v>
      </c>
      <c r="C418" s="35" t="n">
        <v>19663</v>
      </c>
      <c r="D418" s="35" t="n">
        <v>277</v>
      </c>
      <c r="E418" s="35" t="n">
        <v>6</v>
      </c>
      <c r="F418" s="35" t="n">
        <v>0</v>
      </c>
      <c r="G418" s="35" t="n">
        <v>0</v>
      </c>
      <c r="H418" s="35" t="n">
        <v>5376</v>
      </c>
      <c r="I418" s="28" t="str">
        <f aca="false">INDEX(Campaigns!$C$2:$C$31,MATCH(B418,Campaigns!$A$2:$A$31,0))</f>
        <v>Facebook &amp; Instagram Ads</v>
      </c>
      <c r="J418" s="40" t="n">
        <f aca="false">DATE(YEAR(A418),MONTH(A418),1)</f>
        <v>46235</v>
      </c>
    </row>
    <row r="419" customFormat="false" ht="15" hidden="false" customHeight="false" outlineLevel="0" collapsed="false">
      <c r="A419" s="34" t="n">
        <v>46239</v>
      </c>
      <c r="B419" s="28" t="s">
        <v>154</v>
      </c>
      <c r="C419" s="35" t="n">
        <v>6911</v>
      </c>
      <c r="D419" s="35" t="n">
        <v>60</v>
      </c>
      <c r="E419" s="35" t="n">
        <v>1</v>
      </c>
      <c r="F419" s="35" t="n">
        <v>0</v>
      </c>
      <c r="G419" s="35" t="n">
        <v>0</v>
      </c>
      <c r="H419" s="35" t="n">
        <v>3869</v>
      </c>
      <c r="I419" s="28" t="str">
        <f aca="false">INDEX(Campaigns!$C$2:$C$31,MATCH(B419,Campaigns!$A$2:$A$31,0))</f>
        <v>Influencer Partnerships</v>
      </c>
      <c r="J419" s="40" t="n">
        <f aca="false">DATE(YEAR(A419),MONTH(A419),1)</f>
        <v>46235</v>
      </c>
    </row>
    <row r="420" customFormat="false" ht="15" hidden="false" customHeight="false" outlineLevel="0" collapsed="false">
      <c r="A420" s="34" t="n">
        <v>46239</v>
      </c>
      <c r="B420" s="28" t="s">
        <v>156</v>
      </c>
      <c r="C420" s="35" t="n">
        <v>45287</v>
      </c>
      <c r="D420" s="35" t="n">
        <v>420</v>
      </c>
      <c r="E420" s="35" t="n">
        <v>62</v>
      </c>
      <c r="F420" s="35" t="n">
        <v>9</v>
      </c>
      <c r="G420" s="35" t="n">
        <v>25580</v>
      </c>
      <c r="H420" s="35" t="n">
        <v>7900</v>
      </c>
      <c r="I420" s="28" t="str">
        <f aca="false">INDEX(Campaigns!$C$2:$C$31,MATCH(B420,Campaigns!$A$2:$A$31,0))</f>
        <v>TikTok Ads</v>
      </c>
      <c r="J420" s="40" t="n">
        <f aca="false">DATE(YEAR(A420),MONTH(A420),1)</f>
        <v>46235</v>
      </c>
    </row>
    <row r="421" customFormat="false" ht="15" hidden="false" customHeight="false" outlineLevel="0" collapsed="false">
      <c r="A421" s="34" t="n">
        <v>46239</v>
      </c>
      <c r="B421" s="28" t="s">
        <v>159</v>
      </c>
      <c r="C421" s="35" t="n">
        <v>23605</v>
      </c>
      <c r="D421" s="35" t="n">
        <v>342</v>
      </c>
      <c r="E421" s="35" t="n">
        <v>63</v>
      </c>
      <c r="F421" s="35" t="n">
        <v>5</v>
      </c>
      <c r="G421" s="35" t="n">
        <v>17000</v>
      </c>
      <c r="H421" s="35" t="n">
        <v>6154</v>
      </c>
      <c r="I421" s="28" t="str">
        <f aca="false">INDEX(Campaigns!$C$2:$C$31,MATCH(B421,Campaigns!$A$2:$A$31,0))</f>
        <v>Facebook &amp; Instagram Ads</v>
      </c>
      <c r="J421" s="40" t="n">
        <f aca="false">DATE(YEAR(A421),MONTH(A421),1)</f>
        <v>46235</v>
      </c>
    </row>
    <row r="422" customFormat="false" ht="15" hidden="false" customHeight="false" outlineLevel="0" collapsed="false">
      <c r="A422" s="34" t="n">
        <v>46239</v>
      </c>
      <c r="B422" s="28" t="s">
        <v>161</v>
      </c>
      <c r="C422" s="35" t="n">
        <v>38070</v>
      </c>
      <c r="D422" s="35" t="n">
        <v>476</v>
      </c>
      <c r="E422" s="35" t="n">
        <v>11</v>
      </c>
      <c r="F422" s="35" t="n">
        <v>0</v>
      </c>
      <c r="G422" s="35" t="n">
        <v>0</v>
      </c>
      <c r="H422" s="35" t="n">
        <v>9672</v>
      </c>
      <c r="I422" s="28" t="str">
        <f aca="false">INDEX(Campaigns!$C$2:$C$31,MATCH(B422,Campaigns!$A$2:$A$31,0))</f>
        <v>Facebook &amp; Instagram Ads</v>
      </c>
      <c r="J422" s="40" t="n">
        <f aca="false">DATE(YEAR(A422),MONTH(A422),1)</f>
        <v>46235</v>
      </c>
    </row>
    <row r="423" customFormat="false" ht="15" hidden="false" customHeight="false" outlineLevel="0" collapsed="false">
      <c r="A423" s="34" t="n">
        <v>46239</v>
      </c>
      <c r="B423" s="28" t="s">
        <v>163</v>
      </c>
      <c r="C423" s="35" t="n">
        <v>1829</v>
      </c>
      <c r="D423" s="35" t="n">
        <v>47</v>
      </c>
      <c r="E423" s="35" t="n">
        <v>0</v>
      </c>
      <c r="F423" s="35" t="n">
        <v>5</v>
      </c>
      <c r="G423" s="35" t="n">
        <v>15250</v>
      </c>
      <c r="H423" s="35" t="n">
        <v>589</v>
      </c>
      <c r="I423" s="28" t="str">
        <f aca="false">INDEX(Campaigns!$C$2:$C$31,MATCH(B423,Campaigns!$A$2:$A$31,0))</f>
        <v>Email</v>
      </c>
      <c r="J423" s="40" t="n">
        <f aca="false">DATE(YEAR(A423),MONTH(A423),1)</f>
        <v>46235</v>
      </c>
    </row>
    <row r="424" customFormat="false" ht="15" hidden="false" customHeight="false" outlineLevel="0" collapsed="false">
      <c r="A424" s="34" t="n">
        <v>46240</v>
      </c>
      <c r="B424" s="28" t="s">
        <v>105</v>
      </c>
      <c r="C424" s="35" t="n">
        <v>5349</v>
      </c>
      <c r="D424" s="35" t="n">
        <v>199</v>
      </c>
      <c r="E424" s="35" t="n">
        <v>7</v>
      </c>
      <c r="F424" s="35" t="n">
        <v>7</v>
      </c>
      <c r="G424" s="35" t="n">
        <v>26020</v>
      </c>
      <c r="H424" s="35" t="n">
        <v>4557</v>
      </c>
      <c r="I424" s="28" t="str">
        <f aca="false">INDEX(Campaigns!$C$2:$C$31,MATCH(B424,Campaigns!$A$2:$A$31,0))</f>
        <v>Google Search Ads</v>
      </c>
      <c r="J424" s="40" t="n">
        <f aca="false">DATE(YEAR(A424),MONTH(A424),1)</f>
        <v>46235</v>
      </c>
    </row>
    <row r="425" customFormat="false" ht="15" hidden="false" customHeight="false" outlineLevel="0" collapsed="false">
      <c r="A425" s="34" t="n">
        <v>46240</v>
      </c>
      <c r="B425" s="28" t="s">
        <v>108</v>
      </c>
      <c r="C425" s="35" t="n">
        <v>6900</v>
      </c>
      <c r="D425" s="35" t="n">
        <v>215</v>
      </c>
      <c r="E425" s="35" t="n">
        <v>6</v>
      </c>
      <c r="F425" s="35" t="n">
        <v>10</v>
      </c>
      <c r="G425" s="35" t="n">
        <v>34630</v>
      </c>
      <c r="H425" s="35" t="n">
        <v>2574</v>
      </c>
      <c r="I425" s="28" t="str">
        <f aca="false">INDEX(Campaigns!$C$2:$C$31,MATCH(B425,Campaigns!$A$2:$A$31,0))</f>
        <v>Email</v>
      </c>
      <c r="J425" s="40" t="n">
        <f aca="false">DATE(YEAR(A425),MONTH(A425),1)</f>
        <v>46235</v>
      </c>
    </row>
    <row r="426" customFormat="false" ht="15" hidden="false" customHeight="false" outlineLevel="0" collapsed="false">
      <c r="A426" s="34" t="n">
        <v>46240</v>
      </c>
      <c r="B426" s="28" t="s">
        <v>112</v>
      </c>
      <c r="C426" s="35" t="n">
        <v>1047</v>
      </c>
      <c r="D426" s="35" t="n">
        <v>55</v>
      </c>
      <c r="E426" s="35" t="n">
        <v>4</v>
      </c>
      <c r="F426" s="35" t="n">
        <v>3</v>
      </c>
      <c r="G426" s="35" t="n">
        <v>8670</v>
      </c>
      <c r="H426" s="35" t="n">
        <v>1435</v>
      </c>
      <c r="I426" s="28" t="str">
        <f aca="false">INDEX(Campaigns!$C$2:$C$31,MATCH(B426,Campaigns!$A$2:$A$31,0))</f>
        <v>WhatsApp Broadcast</v>
      </c>
      <c r="J426" s="40" t="n">
        <f aca="false">DATE(YEAR(A426),MONTH(A426),1)</f>
        <v>46235</v>
      </c>
    </row>
    <row r="427" customFormat="false" ht="15" hidden="false" customHeight="false" outlineLevel="0" collapsed="false">
      <c r="A427" s="34" t="n">
        <v>46240</v>
      </c>
      <c r="B427" s="28" t="s">
        <v>114</v>
      </c>
      <c r="C427" s="35" t="n">
        <v>676</v>
      </c>
      <c r="D427" s="35" t="n">
        <v>36</v>
      </c>
      <c r="E427" s="35" t="n">
        <v>1</v>
      </c>
      <c r="F427" s="35" t="n">
        <v>1</v>
      </c>
      <c r="G427" s="35" t="n">
        <v>1880</v>
      </c>
      <c r="H427" s="35" t="n">
        <v>937</v>
      </c>
      <c r="I427" s="28" t="str">
        <f aca="false">INDEX(Campaigns!$C$2:$C$31,MATCH(B427,Campaigns!$A$2:$A$31,0))</f>
        <v>WhatsApp Broadcast</v>
      </c>
      <c r="J427" s="40" t="n">
        <f aca="false">DATE(YEAR(A427),MONTH(A427),1)</f>
        <v>46235</v>
      </c>
    </row>
    <row r="428" customFormat="false" ht="15" hidden="false" customHeight="false" outlineLevel="0" collapsed="false">
      <c r="A428" s="34" t="n">
        <v>46240</v>
      </c>
      <c r="B428" s="28" t="s">
        <v>116</v>
      </c>
      <c r="C428" s="35" t="n">
        <v>23249</v>
      </c>
      <c r="D428" s="35" t="n">
        <v>285</v>
      </c>
      <c r="E428" s="35" t="n">
        <v>12</v>
      </c>
      <c r="F428" s="35" t="n">
        <v>2</v>
      </c>
      <c r="G428" s="35" t="n">
        <v>6040</v>
      </c>
      <c r="H428" s="35" t="n">
        <v>6028</v>
      </c>
      <c r="I428" s="28" t="str">
        <f aca="false">INDEX(Campaigns!$C$2:$C$31,MATCH(B428,Campaigns!$A$2:$A$31,0))</f>
        <v>Facebook &amp; Instagram Ads</v>
      </c>
      <c r="J428" s="40" t="n">
        <f aca="false">DATE(YEAR(A428),MONTH(A428),1)</f>
        <v>46235</v>
      </c>
    </row>
    <row r="429" customFormat="false" ht="15" hidden="false" customHeight="false" outlineLevel="0" collapsed="false">
      <c r="A429" s="34" t="n">
        <v>46240</v>
      </c>
      <c r="B429" s="28" t="s">
        <v>118</v>
      </c>
      <c r="C429" s="35" t="n">
        <v>2262</v>
      </c>
      <c r="D429" s="35" t="n">
        <v>114</v>
      </c>
      <c r="E429" s="35" t="n">
        <v>6</v>
      </c>
      <c r="F429" s="35" t="n">
        <v>4</v>
      </c>
      <c r="G429" s="35" t="n">
        <v>14960</v>
      </c>
      <c r="H429" s="35" t="n">
        <v>2169</v>
      </c>
      <c r="I429" s="28" t="str">
        <f aca="false">INDEX(Campaigns!$C$2:$C$31,MATCH(B429,Campaigns!$A$2:$A$31,0))</f>
        <v>Google Search Ads</v>
      </c>
      <c r="J429" s="40" t="n">
        <f aca="false">DATE(YEAR(A429),MONTH(A429),1)</f>
        <v>46235</v>
      </c>
    </row>
    <row r="430" customFormat="false" ht="15" hidden="false" customHeight="false" outlineLevel="0" collapsed="false">
      <c r="A430" s="34" t="n">
        <v>46240</v>
      </c>
      <c r="B430" s="28" t="s">
        <v>122</v>
      </c>
      <c r="C430" s="35" t="n">
        <v>143077</v>
      </c>
      <c r="D430" s="35" t="n">
        <v>1057</v>
      </c>
      <c r="E430" s="35" t="n">
        <v>34</v>
      </c>
      <c r="F430" s="35" t="n">
        <v>14</v>
      </c>
      <c r="G430" s="35" t="n">
        <v>41820</v>
      </c>
      <c r="H430" s="35" t="n">
        <v>26048</v>
      </c>
      <c r="I430" s="28" t="str">
        <f aca="false">INDEX(Campaigns!$C$2:$C$31,MATCH(B430,Campaigns!$A$2:$A$31,0))</f>
        <v>TikTok Ads</v>
      </c>
      <c r="J430" s="40" t="n">
        <f aca="false">DATE(YEAR(A430),MONTH(A430),1)</f>
        <v>46235</v>
      </c>
    </row>
    <row r="431" customFormat="false" ht="15" hidden="false" customHeight="false" outlineLevel="0" collapsed="false">
      <c r="A431" s="34" t="n">
        <v>46240</v>
      </c>
      <c r="B431" s="28" t="s">
        <v>124</v>
      </c>
      <c r="C431" s="35" t="n">
        <v>6579</v>
      </c>
      <c r="D431" s="35" t="n">
        <v>142</v>
      </c>
      <c r="E431" s="35" t="n">
        <v>5</v>
      </c>
      <c r="F431" s="35" t="n">
        <v>3</v>
      </c>
      <c r="G431" s="35" t="n">
        <v>7890</v>
      </c>
      <c r="H431" s="35" t="n">
        <v>2246</v>
      </c>
      <c r="I431" s="28" t="str">
        <f aca="false">INDEX(Campaigns!$C$2:$C$31,MATCH(B431,Campaigns!$A$2:$A$31,0))</f>
        <v>Email</v>
      </c>
      <c r="J431" s="40" t="n">
        <f aca="false">DATE(YEAR(A431),MONTH(A431),1)</f>
        <v>46235</v>
      </c>
    </row>
    <row r="432" customFormat="false" ht="15" hidden="false" customHeight="false" outlineLevel="0" collapsed="false">
      <c r="A432" s="34" t="n">
        <v>46240</v>
      </c>
      <c r="B432" s="28" t="s">
        <v>126</v>
      </c>
      <c r="C432" s="35" t="n">
        <v>15699</v>
      </c>
      <c r="D432" s="35" t="n">
        <v>102</v>
      </c>
      <c r="E432" s="35" t="n">
        <v>4</v>
      </c>
      <c r="F432" s="35" t="n">
        <v>0</v>
      </c>
      <c r="G432" s="35" t="n">
        <v>0</v>
      </c>
      <c r="H432" s="35" t="n">
        <v>3134</v>
      </c>
      <c r="I432" s="28" t="str">
        <f aca="false">INDEX(Campaigns!$C$2:$C$31,MATCH(B432,Campaigns!$A$2:$A$31,0))</f>
        <v>TikTok Ads</v>
      </c>
      <c r="J432" s="40" t="n">
        <f aca="false">DATE(YEAR(A432),MONTH(A432),1)</f>
        <v>46235</v>
      </c>
    </row>
    <row r="433" customFormat="false" ht="15" hidden="false" customHeight="false" outlineLevel="0" collapsed="false">
      <c r="A433" s="34" t="n">
        <v>46240</v>
      </c>
      <c r="B433" s="28" t="s">
        <v>128</v>
      </c>
      <c r="C433" s="35" t="n">
        <v>27714</v>
      </c>
      <c r="D433" s="35" t="n">
        <v>1517</v>
      </c>
      <c r="E433" s="35" t="n">
        <v>66</v>
      </c>
      <c r="F433" s="35" t="n">
        <v>98</v>
      </c>
      <c r="G433" s="35" t="n">
        <v>361210</v>
      </c>
      <c r="H433" s="35" t="n">
        <v>23927</v>
      </c>
      <c r="I433" s="28" t="str">
        <f aca="false">INDEX(Campaigns!$C$2:$C$31,MATCH(B433,Campaigns!$A$2:$A$31,0))</f>
        <v>Google Search Ads</v>
      </c>
      <c r="J433" s="40" t="n">
        <f aca="false">DATE(YEAR(A433),MONTH(A433),1)</f>
        <v>46235</v>
      </c>
    </row>
    <row r="434" customFormat="false" ht="15" hidden="false" customHeight="false" outlineLevel="0" collapsed="false">
      <c r="A434" s="34" t="n">
        <v>46240</v>
      </c>
      <c r="B434" s="28" t="s">
        <v>134</v>
      </c>
      <c r="C434" s="35" t="n">
        <v>2013</v>
      </c>
      <c r="D434" s="35" t="n">
        <v>137</v>
      </c>
      <c r="E434" s="35" t="n">
        <v>2</v>
      </c>
      <c r="F434" s="35" t="n">
        <v>8</v>
      </c>
      <c r="G434" s="35" t="n">
        <v>23470</v>
      </c>
      <c r="H434" s="35" t="n">
        <v>2822</v>
      </c>
      <c r="I434" s="28" t="str">
        <f aca="false">INDEX(Campaigns!$C$2:$C$31,MATCH(B434,Campaigns!$A$2:$A$31,0))</f>
        <v>WhatsApp Broadcast</v>
      </c>
      <c r="J434" s="40" t="n">
        <f aca="false">DATE(YEAR(A434),MONTH(A434),1)</f>
        <v>46235</v>
      </c>
    </row>
    <row r="435" customFormat="false" ht="15" hidden="false" customHeight="false" outlineLevel="0" collapsed="false">
      <c r="A435" s="34" t="n">
        <v>46240</v>
      </c>
      <c r="B435" s="28" t="s">
        <v>136</v>
      </c>
      <c r="C435" s="35" t="n">
        <v>13145</v>
      </c>
      <c r="D435" s="35" t="n">
        <v>397</v>
      </c>
      <c r="E435" s="35" t="n">
        <v>24</v>
      </c>
      <c r="F435" s="35" t="n">
        <v>17</v>
      </c>
      <c r="G435" s="35" t="n">
        <v>53200</v>
      </c>
      <c r="H435" s="35" t="n">
        <v>4364</v>
      </c>
      <c r="I435" s="28" t="str">
        <f aca="false">INDEX(Campaigns!$C$2:$C$31,MATCH(B435,Campaigns!$A$2:$A$31,0))</f>
        <v>Email</v>
      </c>
      <c r="J435" s="40" t="n">
        <f aca="false">DATE(YEAR(A435),MONTH(A435),1)</f>
        <v>46235</v>
      </c>
    </row>
    <row r="436" customFormat="false" ht="15" hidden="false" customHeight="false" outlineLevel="0" collapsed="false">
      <c r="A436" s="34" t="n">
        <v>46240</v>
      </c>
      <c r="B436" s="28" t="s">
        <v>139</v>
      </c>
      <c r="C436" s="35" t="n">
        <v>18628</v>
      </c>
      <c r="D436" s="35" t="n">
        <v>180</v>
      </c>
      <c r="E436" s="35" t="n">
        <v>11</v>
      </c>
      <c r="F436" s="35" t="n">
        <v>3</v>
      </c>
      <c r="G436" s="35" t="n">
        <v>7080</v>
      </c>
      <c r="H436" s="35" t="n">
        <v>3231</v>
      </c>
      <c r="I436" s="28" t="str">
        <f aca="false">INDEX(Campaigns!$C$2:$C$31,MATCH(B436,Campaigns!$A$2:$A$31,0))</f>
        <v>TikTok Ads</v>
      </c>
      <c r="J436" s="40" t="n">
        <f aca="false">DATE(YEAR(A436),MONTH(A436),1)</f>
        <v>46235</v>
      </c>
    </row>
    <row r="437" customFormat="false" ht="15" hidden="false" customHeight="false" outlineLevel="0" collapsed="false">
      <c r="A437" s="34" t="n">
        <v>46240</v>
      </c>
      <c r="B437" s="28" t="s">
        <v>141</v>
      </c>
      <c r="C437" s="35" t="n">
        <v>7220</v>
      </c>
      <c r="D437" s="35" t="n">
        <v>242</v>
      </c>
      <c r="E437" s="35" t="n">
        <v>13</v>
      </c>
      <c r="F437" s="35" t="n">
        <v>18</v>
      </c>
      <c r="G437" s="35" t="n">
        <v>58650</v>
      </c>
      <c r="H437" s="35" t="n">
        <v>2590</v>
      </c>
      <c r="I437" s="28" t="str">
        <f aca="false">INDEX(Campaigns!$C$2:$C$31,MATCH(B437,Campaigns!$A$2:$A$31,0))</f>
        <v>Email</v>
      </c>
      <c r="J437" s="40" t="n">
        <f aca="false">DATE(YEAR(A437),MONTH(A437),1)</f>
        <v>46235</v>
      </c>
    </row>
    <row r="438" customFormat="false" ht="15" hidden="false" customHeight="false" outlineLevel="0" collapsed="false">
      <c r="A438" s="34" t="n">
        <v>46240</v>
      </c>
      <c r="B438" s="28" t="s">
        <v>145</v>
      </c>
      <c r="C438" s="35" t="n">
        <v>8423</v>
      </c>
      <c r="D438" s="35" t="n">
        <v>450</v>
      </c>
      <c r="E438" s="35" t="n">
        <v>23</v>
      </c>
      <c r="F438" s="35" t="n">
        <v>35</v>
      </c>
      <c r="G438" s="35" t="n">
        <v>133460</v>
      </c>
      <c r="H438" s="35" t="n">
        <v>7754</v>
      </c>
      <c r="I438" s="28" t="str">
        <f aca="false">INDEX(Campaigns!$C$2:$C$31,MATCH(B438,Campaigns!$A$2:$A$31,0))</f>
        <v>Google Search Ads</v>
      </c>
      <c r="J438" s="40" t="n">
        <f aca="false">DATE(YEAR(A438),MONTH(A438),1)</f>
        <v>46235</v>
      </c>
    </row>
    <row r="439" customFormat="false" ht="15" hidden="false" customHeight="false" outlineLevel="0" collapsed="false">
      <c r="A439" s="34" t="n">
        <v>46240</v>
      </c>
      <c r="B439" s="28" t="s">
        <v>147</v>
      </c>
      <c r="C439" s="35" t="n">
        <v>22763</v>
      </c>
      <c r="D439" s="35" t="n">
        <v>301</v>
      </c>
      <c r="E439" s="35" t="n">
        <v>5</v>
      </c>
      <c r="F439" s="35" t="n">
        <v>0</v>
      </c>
      <c r="G439" s="35" t="n">
        <v>0</v>
      </c>
      <c r="H439" s="35" t="n">
        <v>6051</v>
      </c>
      <c r="I439" s="28" t="str">
        <f aca="false">INDEX(Campaigns!$C$2:$C$31,MATCH(B439,Campaigns!$A$2:$A$31,0))</f>
        <v>Facebook &amp; Instagram Ads</v>
      </c>
      <c r="J439" s="40" t="n">
        <f aca="false">DATE(YEAR(A439),MONTH(A439),1)</f>
        <v>46235</v>
      </c>
    </row>
    <row r="440" customFormat="false" ht="15" hidden="false" customHeight="false" outlineLevel="0" collapsed="false">
      <c r="A440" s="34" t="n">
        <v>46240</v>
      </c>
      <c r="B440" s="28" t="s">
        <v>154</v>
      </c>
      <c r="C440" s="35" t="n">
        <v>5120</v>
      </c>
      <c r="D440" s="35" t="n">
        <v>48</v>
      </c>
      <c r="E440" s="35" t="n">
        <v>1</v>
      </c>
      <c r="F440" s="35" t="n">
        <v>0</v>
      </c>
      <c r="G440" s="35" t="n">
        <v>0</v>
      </c>
      <c r="H440" s="35" t="n">
        <v>3336</v>
      </c>
      <c r="I440" s="28" t="str">
        <f aca="false">INDEX(Campaigns!$C$2:$C$31,MATCH(B440,Campaigns!$A$2:$A$31,0))</f>
        <v>Influencer Partnerships</v>
      </c>
      <c r="J440" s="40" t="n">
        <f aca="false">DATE(YEAR(A440),MONTH(A440),1)</f>
        <v>46235</v>
      </c>
    </row>
    <row r="441" customFormat="false" ht="15" hidden="false" customHeight="false" outlineLevel="0" collapsed="false">
      <c r="A441" s="34" t="n">
        <v>46240</v>
      </c>
      <c r="B441" s="28" t="s">
        <v>156</v>
      </c>
      <c r="C441" s="35" t="n">
        <v>48429</v>
      </c>
      <c r="D441" s="35" t="n">
        <v>467</v>
      </c>
      <c r="E441" s="35" t="n">
        <v>53</v>
      </c>
      <c r="F441" s="35" t="n">
        <v>9</v>
      </c>
      <c r="G441" s="35" t="n">
        <v>25160</v>
      </c>
      <c r="H441" s="35" t="n">
        <v>8744</v>
      </c>
      <c r="I441" s="28" t="str">
        <f aca="false">INDEX(Campaigns!$C$2:$C$31,MATCH(B441,Campaigns!$A$2:$A$31,0))</f>
        <v>TikTok Ads</v>
      </c>
      <c r="J441" s="40" t="n">
        <f aca="false">DATE(YEAR(A441),MONTH(A441),1)</f>
        <v>46235</v>
      </c>
    </row>
    <row r="442" customFormat="false" ht="15" hidden="false" customHeight="false" outlineLevel="0" collapsed="false">
      <c r="A442" s="34" t="n">
        <v>46240</v>
      </c>
      <c r="B442" s="28" t="s">
        <v>158</v>
      </c>
      <c r="C442" s="35" t="n">
        <v>18778</v>
      </c>
      <c r="D442" s="35" t="n">
        <v>179</v>
      </c>
      <c r="E442" s="35" t="n">
        <v>19</v>
      </c>
      <c r="F442" s="35" t="n">
        <v>5</v>
      </c>
      <c r="G442" s="35" t="n">
        <v>16420</v>
      </c>
      <c r="H442" s="35" t="n">
        <v>10451</v>
      </c>
      <c r="I442" s="28" t="str">
        <f aca="false">INDEX(Campaigns!$C$2:$C$31,MATCH(B442,Campaigns!$A$2:$A$31,0))</f>
        <v>Influencer Partnerships</v>
      </c>
      <c r="J442" s="40" t="n">
        <f aca="false">DATE(YEAR(A442),MONTH(A442),1)</f>
        <v>46235</v>
      </c>
    </row>
    <row r="443" customFormat="false" ht="15" hidden="false" customHeight="false" outlineLevel="0" collapsed="false">
      <c r="A443" s="34" t="n">
        <v>46240</v>
      </c>
      <c r="B443" s="28" t="s">
        <v>159</v>
      </c>
      <c r="C443" s="35" t="n">
        <v>21198</v>
      </c>
      <c r="D443" s="35" t="n">
        <v>286</v>
      </c>
      <c r="E443" s="35" t="n">
        <v>46</v>
      </c>
      <c r="F443" s="35" t="n">
        <v>1</v>
      </c>
      <c r="G443" s="35" t="n">
        <v>3270</v>
      </c>
      <c r="H443" s="35" t="n">
        <v>5840</v>
      </c>
      <c r="I443" s="28" t="str">
        <f aca="false">INDEX(Campaigns!$C$2:$C$31,MATCH(B443,Campaigns!$A$2:$A$31,0))</f>
        <v>Facebook &amp; Instagram Ads</v>
      </c>
      <c r="J443" s="40" t="n">
        <f aca="false">DATE(YEAR(A443),MONTH(A443),1)</f>
        <v>46235</v>
      </c>
    </row>
    <row r="444" customFormat="false" ht="15" hidden="false" customHeight="false" outlineLevel="0" collapsed="false">
      <c r="A444" s="34" t="n">
        <v>46240</v>
      </c>
      <c r="B444" s="28" t="s">
        <v>161</v>
      </c>
      <c r="C444" s="35" t="n">
        <v>42714</v>
      </c>
      <c r="D444" s="35" t="n">
        <v>518</v>
      </c>
      <c r="E444" s="35" t="n">
        <v>10</v>
      </c>
      <c r="F444" s="35" t="n">
        <v>0</v>
      </c>
      <c r="G444" s="35" t="n">
        <v>0</v>
      </c>
      <c r="H444" s="35" t="n">
        <v>10665</v>
      </c>
      <c r="I444" s="28" t="str">
        <f aca="false">INDEX(Campaigns!$C$2:$C$31,MATCH(B444,Campaigns!$A$2:$A$31,0))</f>
        <v>Facebook &amp; Instagram Ads</v>
      </c>
      <c r="J444" s="40" t="n">
        <f aca="false">DATE(YEAR(A444),MONTH(A444),1)</f>
        <v>46235</v>
      </c>
    </row>
    <row r="445" customFormat="false" ht="15" hidden="false" customHeight="false" outlineLevel="0" collapsed="false">
      <c r="A445" s="34" t="n">
        <v>46240</v>
      </c>
      <c r="B445" s="28" t="s">
        <v>163</v>
      </c>
      <c r="C445" s="35" t="n">
        <v>1383</v>
      </c>
      <c r="D445" s="35" t="n">
        <v>42</v>
      </c>
      <c r="E445" s="35" t="n">
        <v>2</v>
      </c>
      <c r="F445" s="35" t="n">
        <v>2</v>
      </c>
      <c r="G445" s="35" t="n">
        <v>5490</v>
      </c>
      <c r="H445" s="35" t="n">
        <v>447</v>
      </c>
      <c r="I445" s="28" t="str">
        <f aca="false">INDEX(Campaigns!$C$2:$C$31,MATCH(B445,Campaigns!$A$2:$A$31,0))</f>
        <v>Email</v>
      </c>
      <c r="J445" s="40" t="n">
        <f aca="false">DATE(YEAR(A445),MONTH(A445),1)</f>
        <v>46235</v>
      </c>
    </row>
    <row r="446" customFormat="false" ht="15" hidden="false" customHeight="false" outlineLevel="0" collapsed="false">
      <c r="A446" s="34" t="n">
        <v>46241</v>
      </c>
      <c r="B446" s="28" t="s">
        <v>105</v>
      </c>
      <c r="C446" s="35" t="n">
        <v>6935</v>
      </c>
      <c r="D446" s="35" t="n">
        <v>265</v>
      </c>
      <c r="E446" s="35" t="n">
        <v>11</v>
      </c>
      <c r="F446" s="35" t="n">
        <v>7</v>
      </c>
      <c r="G446" s="35" t="n">
        <v>26920</v>
      </c>
      <c r="H446" s="35" t="n">
        <v>6214</v>
      </c>
      <c r="I446" s="28" t="str">
        <f aca="false">INDEX(Campaigns!$C$2:$C$31,MATCH(B446,Campaigns!$A$2:$A$31,0))</f>
        <v>Google Search Ads</v>
      </c>
      <c r="J446" s="40" t="n">
        <f aca="false">DATE(YEAR(A446),MONTH(A446),1)</f>
        <v>46235</v>
      </c>
    </row>
    <row r="447" customFormat="false" ht="15" hidden="false" customHeight="false" outlineLevel="0" collapsed="false">
      <c r="A447" s="34" t="n">
        <v>46241</v>
      </c>
      <c r="B447" s="28" t="s">
        <v>108</v>
      </c>
      <c r="C447" s="35" t="n">
        <v>7783</v>
      </c>
      <c r="D447" s="35" t="n">
        <v>264</v>
      </c>
      <c r="E447" s="35" t="n">
        <v>12</v>
      </c>
      <c r="F447" s="35" t="n">
        <v>15</v>
      </c>
      <c r="G447" s="35" t="n">
        <v>43110</v>
      </c>
      <c r="H447" s="35" t="n">
        <v>2741</v>
      </c>
      <c r="I447" s="28" t="str">
        <f aca="false">INDEX(Campaigns!$C$2:$C$31,MATCH(B447,Campaigns!$A$2:$A$31,0))</f>
        <v>Email</v>
      </c>
      <c r="J447" s="40" t="n">
        <f aca="false">DATE(YEAR(A447),MONTH(A447),1)</f>
        <v>46235</v>
      </c>
    </row>
    <row r="448" customFormat="false" ht="15" hidden="false" customHeight="false" outlineLevel="0" collapsed="false">
      <c r="A448" s="34" t="n">
        <v>46241</v>
      </c>
      <c r="B448" s="28" t="s">
        <v>112</v>
      </c>
      <c r="C448" s="35" t="n">
        <v>1289</v>
      </c>
      <c r="D448" s="35" t="n">
        <v>87</v>
      </c>
      <c r="E448" s="35" t="n">
        <v>0</v>
      </c>
      <c r="F448" s="35" t="n">
        <v>3</v>
      </c>
      <c r="G448" s="35" t="n">
        <v>6630</v>
      </c>
      <c r="H448" s="35" t="n">
        <v>1678</v>
      </c>
      <c r="I448" s="28" t="str">
        <f aca="false">INDEX(Campaigns!$C$2:$C$31,MATCH(B448,Campaigns!$A$2:$A$31,0))</f>
        <v>WhatsApp Broadcast</v>
      </c>
      <c r="J448" s="40" t="n">
        <f aca="false">DATE(YEAR(A448),MONTH(A448),1)</f>
        <v>46235</v>
      </c>
    </row>
    <row r="449" customFormat="false" ht="15" hidden="false" customHeight="false" outlineLevel="0" collapsed="false">
      <c r="A449" s="34" t="n">
        <v>46241</v>
      </c>
      <c r="B449" s="28" t="s">
        <v>114</v>
      </c>
      <c r="C449" s="35" t="n">
        <v>741</v>
      </c>
      <c r="D449" s="35" t="n">
        <v>42</v>
      </c>
      <c r="E449" s="35" t="n">
        <v>2</v>
      </c>
      <c r="F449" s="35" t="n">
        <v>3</v>
      </c>
      <c r="G449" s="35" t="n">
        <v>7640</v>
      </c>
      <c r="H449" s="35" t="n">
        <v>1037</v>
      </c>
      <c r="I449" s="28" t="str">
        <f aca="false">INDEX(Campaigns!$C$2:$C$31,MATCH(B449,Campaigns!$A$2:$A$31,0))</f>
        <v>WhatsApp Broadcast</v>
      </c>
      <c r="J449" s="40" t="n">
        <f aca="false">DATE(YEAR(A449),MONTH(A449),1)</f>
        <v>46235</v>
      </c>
    </row>
    <row r="450" customFormat="false" ht="15" hidden="false" customHeight="false" outlineLevel="0" collapsed="false">
      <c r="A450" s="34" t="n">
        <v>46241</v>
      </c>
      <c r="B450" s="28" t="s">
        <v>116</v>
      </c>
      <c r="C450" s="35" t="n">
        <v>23276</v>
      </c>
      <c r="D450" s="35" t="n">
        <v>302</v>
      </c>
      <c r="E450" s="35" t="n">
        <v>9</v>
      </c>
      <c r="F450" s="35" t="n">
        <v>5</v>
      </c>
      <c r="G450" s="35" t="n">
        <v>19650</v>
      </c>
      <c r="H450" s="35" t="n">
        <v>5395</v>
      </c>
      <c r="I450" s="28" t="str">
        <f aca="false">INDEX(Campaigns!$C$2:$C$31,MATCH(B450,Campaigns!$A$2:$A$31,0))</f>
        <v>Facebook &amp; Instagram Ads</v>
      </c>
      <c r="J450" s="40" t="n">
        <f aca="false">DATE(YEAR(A450),MONTH(A450),1)</f>
        <v>46235</v>
      </c>
    </row>
    <row r="451" customFormat="false" ht="15" hidden="false" customHeight="false" outlineLevel="0" collapsed="false">
      <c r="A451" s="34" t="n">
        <v>46241</v>
      </c>
      <c r="B451" s="28" t="s">
        <v>118</v>
      </c>
      <c r="C451" s="35" t="n">
        <v>3236</v>
      </c>
      <c r="D451" s="35" t="n">
        <v>153</v>
      </c>
      <c r="E451" s="35" t="n">
        <v>3</v>
      </c>
      <c r="F451" s="35" t="n">
        <v>2</v>
      </c>
      <c r="G451" s="35" t="n">
        <v>9410</v>
      </c>
      <c r="H451" s="35" t="n">
        <v>2881</v>
      </c>
      <c r="I451" s="28" t="str">
        <f aca="false">INDEX(Campaigns!$C$2:$C$31,MATCH(B451,Campaigns!$A$2:$A$31,0))</f>
        <v>Google Search Ads</v>
      </c>
      <c r="J451" s="40" t="n">
        <f aca="false">DATE(YEAR(A451),MONTH(A451),1)</f>
        <v>46235</v>
      </c>
    </row>
    <row r="452" customFormat="false" ht="15" hidden="false" customHeight="false" outlineLevel="0" collapsed="false">
      <c r="A452" s="34" t="n">
        <v>46241</v>
      </c>
      <c r="B452" s="28" t="s">
        <v>122</v>
      </c>
      <c r="C452" s="35" t="n">
        <v>150802</v>
      </c>
      <c r="D452" s="35" t="n">
        <v>1158</v>
      </c>
      <c r="E452" s="35" t="n">
        <v>42</v>
      </c>
      <c r="F452" s="35" t="n">
        <v>3</v>
      </c>
      <c r="G452" s="35" t="n">
        <v>8480</v>
      </c>
      <c r="H452" s="35" t="n">
        <v>25772</v>
      </c>
      <c r="I452" s="28" t="str">
        <f aca="false">INDEX(Campaigns!$C$2:$C$31,MATCH(B452,Campaigns!$A$2:$A$31,0))</f>
        <v>TikTok Ads</v>
      </c>
      <c r="J452" s="40" t="n">
        <f aca="false">DATE(YEAR(A452),MONTH(A452),1)</f>
        <v>46235</v>
      </c>
    </row>
    <row r="453" customFormat="false" ht="15" hidden="false" customHeight="false" outlineLevel="0" collapsed="false">
      <c r="A453" s="34" t="n">
        <v>46241</v>
      </c>
      <c r="B453" s="28" t="s">
        <v>124</v>
      </c>
      <c r="C453" s="35" t="n">
        <v>7620</v>
      </c>
      <c r="D453" s="35" t="n">
        <v>181</v>
      </c>
      <c r="E453" s="35" t="n">
        <v>9</v>
      </c>
      <c r="F453" s="35" t="n">
        <v>2</v>
      </c>
      <c r="G453" s="35" t="n">
        <v>7020</v>
      </c>
      <c r="H453" s="35" t="n">
        <v>2788</v>
      </c>
      <c r="I453" s="28" t="str">
        <f aca="false">INDEX(Campaigns!$C$2:$C$31,MATCH(B453,Campaigns!$A$2:$A$31,0))</f>
        <v>Email</v>
      </c>
      <c r="J453" s="40" t="n">
        <f aca="false">DATE(YEAR(A453),MONTH(A453),1)</f>
        <v>46235</v>
      </c>
    </row>
    <row r="454" customFormat="false" ht="15" hidden="false" customHeight="false" outlineLevel="0" collapsed="false">
      <c r="A454" s="34" t="n">
        <v>46241</v>
      </c>
      <c r="B454" s="28" t="s">
        <v>126</v>
      </c>
      <c r="C454" s="35" t="n">
        <v>17515</v>
      </c>
      <c r="D454" s="35" t="n">
        <v>122</v>
      </c>
      <c r="E454" s="35" t="n">
        <v>3</v>
      </c>
      <c r="F454" s="35" t="n">
        <v>0</v>
      </c>
      <c r="G454" s="35" t="n">
        <v>0</v>
      </c>
      <c r="H454" s="35" t="n">
        <v>3019</v>
      </c>
      <c r="I454" s="28" t="str">
        <f aca="false">INDEX(Campaigns!$C$2:$C$31,MATCH(B454,Campaigns!$A$2:$A$31,0))</f>
        <v>TikTok Ads</v>
      </c>
      <c r="J454" s="40" t="n">
        <f aca="false">DATE(YEAR(A454),MONTH(A454),1)</f>
        <v>46235</v>
      </c>
    </row>
    <row r="455" customFormat="false" ht="15" hidden="false" customHeight="false" outlineLevel="0" collapsed="false">
      <c r="A455" s="34" t="n">
        <v>46241</v>
      </c>
      <c r="B455" s="28" t="s">
        <v>128</v>
      </c>
      <c r="C455" s="35" t="n">
        <v>29799</v>
      </c>
      <c r="D455" s="35" t="n">
        <v>1711</v>
      </c>
      <c r="E455" s="35" t="n">
        <v>60</v>
      </c>
      <c r="F455" s="35" t="n">
        <v>114</v>
      </c>
      <c r="G455" s="35" t="n">
        <v>421840</v>
      </c>
      <c r="H455" s="35" t="n">
        <v>28092</v>
      </c>
      <c r="I455" s="28" t="str">
        <f aca="false">INDEX(Campaigns!$C$2:$C$31,MATCH(B455,Campaigns!$A$2:$A$31,0))</f>
        <v>Google Search Ads</v>
      </c>
      <c r="J455" s="40" t="n">
        <f aca="false">DATE(YEAR(A455),MONTH(A455),1)</f>
        <v>46235</v>
      </c>
    </row>
    <row r="456" customFormat="false" ht="15" hidden="false" customHeight="false" outlineLevel="0" collapsed="false">
      <c r="A456" s="34" t="n">
        <v>46241</v>
      </c>
      <c r="B456" s="28" t="s">
        <v>134</v>
      </c>
      <c r="C456" s="35" t="n">
        <v>2980</v>
      </c>
      <c r="D456" s="35" t="n">
        <v>199</v>
      </c>
      <c r="E456" s="35" t="n">
        <v>6</v>
      </c>
      <c r="F456" s="35" t="n">
        <v>17</v>
      </c>
      <c r="G456" s="35" t="n">
        <v>51190</v>
      </c>
      <c r="H456" s="35" t="n">
        <v>3878</v>
      </c>
      <c r="I456" s="28" t="str">
        <f aca="false">INDEX(Campaigns!$C$2:$C$31,MATCH(B456,Campaigns!$A$2:$A$31,0))</f>
        <v>WhatsApp Broadcast</v>
      </c>
      <c r="J456" s="40" t="n">
        <f aca="false">DATE(YEAR(A456),MONTH(A456),1)</f>
        <v>46235</v>
      </c>
    </row>
    <row r="457" customFormat="false" ht="15" hidden="false" customHeight="false" outlineLevel="0" collapsed="false">
      <c r="A457" s="34" t="n">
        <v>46241</v>
      </c>
      <c r="B457" s="28" t="s">
        <v>136</v>
      </c>
      <c r="C457" s="35" t="n">
        <v>12413</v>
      </c>
      <c r="D457" s="35" t="n">
        <v>338</v>
      </c>
      <c r="E457" s="35" t="n">
        <v>21</v>
      </c>
      <c r="F457" s="35" t="n">
        <v>9</v>
      </c>
      <c r="G457" s="35" t="n">
        <v>26870</v>
      </c>
      <c r="H457" s="35" t="n">
        <v>4730</v>
      </c>
      <c r="I457" s="28" t="str">
        <f aca="false">INDEX(Campaigns!$C$2:$C$31,MATCH(B457,Campaigns!$A$2:$A$31,0))</f>
        <v>Email</v>
      </c>
      <c r="J457" s="40" t="n">
        <f aca="false">DATE(YEAR(A457),MONTH(A457),1)</f>
        <v>46235</v>
      </c>
    </row>
    <row r="458" customFormat="false" ht="15" hidden="false" customHeight="false" outlineLevel="0" collapsed="false">
      <c r="A458" s="34" t="n">
        <v>46241</v>
      </c>
      <c r="B458" s="28" t="s">
        <v>139</v>
      </c>
      <c r="C458" s="35" t="n">
        <v>20248</v>
      </c>
      <c r="D458" s="35" t="n">
        <v>199</v>
      </c>
      <c r="E458" s="35" t="n">
        <v>10</v>
      </c>
      <c r="F458" s="35" t="n">
        <v>1</v>
      </c>
      <c r="G458" s="35" t="n">
        <v>1780</v>
      </c>
      <c r="H458" s="35" t="n">
        <v>3377</v>
      </c>
      <c r="I458" s="28" t="str">
        <f aca="false">INDEX(Campaigns!$C$2:$C$31,MATCH(B458,Campaigns!$A$2:$A$31,0))</f>
        <v>TikTok Ads</v>
      </c>
      <c r="J458" s="40" t="n">
        <f aca="false">DATE(YEAR(A458),MONTH(A458),1)</f>
        <v>46235</v>
      </c>
    </row>
    <row r="459" customFormat="false" ht="15" hidden="false" customHeight="false" outlineLevel="0" collapsed="false">
      <c r="A459" s="34" t="n">
        <v>46241</v>
      </c>
      <c r="B459" s="28" t="s">
        <v>145</v>
      </c>
      <c r="C459" s="35" t="n">
        <v>9645</v>
      </c>
      <c r="D459" s="35" t="n">
        <v>493</v>
      </c>
      <c r="E459" s="35" t="n">
        <v>19</v>
      </c>
      <c r="F459" s="35" t="n">
        <v>31</v>
      </c>
      <c r="G459" s="35" t="n">
        <v>111660</v>
      </c>
      <c r="H459" s="35" t="n">
        <v>8851</v>
      </c>
      <c r="I459" s="28" t="str">
        <f aca="false">INDEX(Campaigns!$C$2:$C$31,MATCH(B459,Campaigns!$A$2:$A$31,0))</f>
        <v>Google Search Ads</v>
      </c>
      <c r="J459" s="40" t="n">
        <f aca="false">DATE(YEAR(A459),MONTH(A459),1)</f>
        <v>46235</v>
      </c>
    </row>
    <row r="460" customFormat="false" ht="15" hidden="false" customHeight="false" outlineLevel="0" collapsed="false">
      <c r="A460" s="34" t="n">
        <v>46241</v>
      </c>
      <c r="B460" s="28" t="s">
        <v>147</v>
      </c>
      <c r="C460" s="35" t="n">
        <v>26059</v>
      </c>
      <c r="D460" s="35" t="n">
        <v>334</v>
      </c>
      <c r="E460" s="35" t="n">
        <v>8</v>
      </c>
      <c r="F460" s="35" t="n">
        <v>0</v>
      </c>
      <c r="G460" s="35" t="n">
        <v>0</v>
      </c>
      <c r="H460" s="35" t="n">
        <v>6501</v>
      </c>
      <c r="I460" s="28" t="str">
        <f aca="false">INDEX(Campaigns!$C$2:$C$31,MATCH(B460,Campaigns!$A$2:$A$31,0))</f>
        <v>Facebook &amp; Instagram Ads</v>
      </c>
      <c r="J460" s="40" t="n">
        <f aca="false">DATE(YEAR(A460),MONTH(A460),1)</f>
        <v>46235</v>
      </c>
    </row>
    <row r="461" customFormat="false" ht="15" hidden="false" customHeight="false" outlineLevel="0" collapsed="false">
      <c r="A461" s="34" t="n">
        <v>46241</v>
      </c>
      <c r="B461" s="28" t="s">
        <v>154</v>
      </c>
      <c r="C461" s="35" t="n">
        <v>5662</v>
      </c>
      <c r="D461" s="35" t="n">
        <v>45</v>
      </c>
      <c r="E461" s="35" t="n">
        <v>5</v>
      </c>
      <c r="F461" s="35" t="n">
        <v>2</v>
      </c>
      <c r="G461" s="35" t="n">
        <v>6790</v>
      </c>
      <c r="H461" s="35" t="n">
        <v>3744</v>
      </c>
      <c r="I461" s="28" t="str">
        <f aca="false">INDEX(Campaigns!$C$2:$C$31,MATCH(B461,Campaigns!$A$2:$A$31,0))</f>
        <v>Influencer Partnerships</v>
      </c>
      <c r="J461" s="40" t="n">
        <f aca="false">DATE(YEAR(A461),MONTH(A461),1)</f>
        <v>46235</v>
      </c>
    </row>
    <row r="462" customFormat="false" ht="15" hidden="false" customHeight="false" outlineLevel="0" collapsed="false">
      <c r="A462" s="34" t="n">
        <v>46241</v>
      </c>
      <c r="B462" s="28" t="s">
        <v>156</v>
      </c>
      <c r="C462" s="35" t="n">
        <v>48261</v>
      </c>
      <c r="D462" s="35" t="n">
        <v>424</v>
      </c>
      <c r="E462" s="35" t="n">
        <v>65</v>
      </c>
      <c r="F462" s="35" t="n">
        <v>6</v>
      </c>
      <c r="G462" s="35" t="n">
        <v>15930</v>
      </c>
      <c r="H462" s="35" t="n">
        <v>7915</v>
      </c>
      <c r="I462" s="28" t="str">
        <f aca="false">INDEX(Campaigns!$C$2:$C$31,MATCH(B462,Campaigns!$A$2:$A$31,0))</f>
        <v>TikTok Ads</v>
      </c>
      <c r="J462" s="40" t="n">
        <f aca="false">DATE(YEAR(A462),MONTH(A462),1)</f>
        <v>46235</v>
      </c>
    </row>
    <row r="463" customFormat="false" ht="15" hidden="false" customHeight="false" outlineLevel="0" collapsed="false">
      <c r="A463" s="34" t="n">
        <v>46241</v>
      </c>
      <c r="B463" s="28" t="s">
        <v>158</v>
      </c>
      <c r="C463" s="35" t="n">
        <v>19874</v>
      </c>
      <c r="D463" s="35" t="n">
        <v>194</v>
      </c>
      <c r="E463" s="35" t="n">
        <v>33</v>
      </c>
      <c r="F463" s="35" t="n">
        <v>2</v>
      </c>
      <c r="G463" s="35" t="n">
        <v>5630</v>
      </c>
      <c r="H463" s="35" t="n">
        <v>11238</v>
      </c>
      <c r="I463" s="28" t="str">
        <f aca="false">INDEX(Campaigns!$C$2:$C$31,MATCH(B463,Campaigns!$A$2:$A$31,0))</f>
        <v>Influencer Partnerships</v>
      </c>
      <c r="J463" s="40" t="n">
        <f aca="false">DATE(YEAR(A463),MONTH(A463),1)</f>
        <v>46235</v>
      </c>
    </row>
    <row r="464" customFormat="false" ht="15" hidden="false" customHeight="false" outlineLevel="0" collapsed="false">
      <c r="A464" s="34" t="n">
        <v>46241</v>
      </c>
      <c r="B464" s="28" t="s">
        <v>159</v>
      </c>
      <c r="C464" s="35" t="n">
        <v>28240</v>
      </c>
      <c r="D464" s="35" t="n">
        <v>418</v>
      </c>
      <c r="E464" s="35" t="n">
        <v>59</v>
      </c>
      <c r="F464" s="35" t="n">
        <v>9</v>
      </c>
      <c r="G464" s="35" t="n">
        <v>30690</v>
      </c>
      <c r="H464" s="35" t="n">
        <v>7811</v>
      </c>
      <c r="I464" s="28" t="str">
        <f aca="false">INDEX(Campaigns!$C$2:$C$31,MATCH(B464,Campaigns!$A$2:$A$31,0))</f>
        <v>Facebook &amp; Instagram Ads</v>
      </c>
      <c r="J464" s="40" t="n">
        <f aca="false">DATE(YEAR(A464),MONTH(A464),1)</f>
        <v>46235</v>
      </c>
    </row>
    <row r="465" customFormat="false" ht="15" hidden="false" customHeight="false" outlineLevel="0" collapsed="false">
      <c r="A465" s="34" t="n">
        <v>46241</v>
      </c>
      <c r="B465" s="28" t="s">
        <v>161</v>
      </c>
      <c r="C465" s="35" t="n">
        <v>46955</v>
      </c>
      <c r="D465" s="35" t="n">
        <v>623</v>
      </c>
      <c r="E465" s="35" t="n">
        <v>10</v>
      </c>
      <c r="F465" s="35" t="n">
        <v>2</v>
      </c>
      <c r="G465" s="35" t="n">
        <v>5160</v>
      </c>
      <c r="H465" s="35" t="n">
        <v>12496</v>
      </c>
      <c r="I465" s="28" t="str">
        <f aca="false">INDEX(Campaigns!$C$2:$C$31,MATCH(B465,Campaigns!$A$2:$A$31,0))</f>
        <v>Facebook &amp; Instagram Ads</v>
      </c>
      <c r="J465" s="40" t="n">
        <f aca="false">DATE(YEAR(A465),MONTH(A465),1)</f>
        <v>46235</v>
      </c>
    </row>
    <row r="466" customFormat="false" ht="15" hidden="false" customHeight="false" outlineLevel="0" collapsed="false">
      <c r="A466" s="34" t="n">
        <v>46241</v>
      </c>
      <c r="B466" s="28" t="s">
        <v>163</v>
      </c>
      <c r="C466" s="35" t="n">
        <v>1673</v>
      </c>
      <c r="D466" s="35" t="n">
        <v>64</v>
      </c>
      <c r="E466" s="35" t="n">
        <v>2</v>
      </c>
      <c r="F466" s="35" t="n">
        <v>2</v>
      </c>
      <c r="G466" s="35" t="n">
        <v>6920</v>
      </c>
      <c r="H466" s="35" t="n">
        <v>641</v>
      </c>
      <c r="I466" s="28" t="str">
        <f aca="false">INDEX(Campaigns!$C$2:$C$31,MATCH(B466,Campaigns!$A$2:$A$31,0))</f>
        <v>Email</v>
      </c>
      <c r="J466" s="40" t="n">
        <f aca="false">DATE(YEAR(A466),MONTH(A466),1)</f>
        <v>46235</v>
      </c>
    </row>
    <row r="467" customFormat="false" ht="15" hidden="false" customHeight="false" outlineLevel="0" collapsed="false">
      <c r="A467" s="34" t="n">
        <v>46242</v>
      </c>
      <c r="B467" s="28" t="s">
        <v>105</v>
      </c>
      <c r="C467" s="35" t="n">
        <v>7474</v>
      </c>
      <c r="D467" s="35" t="n">
        <v>270</v>
      </c>
      <c r="E467" s="35" t="n">
        <v>9</v>
      </c>
      <c r="F467" s="35" t="n">
        <v>6</v>
      </c>
      <c r="G467" s="35" t="n">
        <v>22590</v>
      </c>
      <c r="H467" s="35" t="n">
        <v>6152</v>
      </c>
      <c r="I467" s="28" t="str">
        <f aca="false">INDEX(Campaigns!$C$2:$C$31,MATCH(B467,Campaigns!$A$2:$A$31,0))</f>
        <v>Google Search Ads</v>
      </c>
      <c r="J467" s="40" t="n">
        <f aca="false">DATE(YEAR(A467),MONTH(A467),1)</f>
        <v>46235</v>
      </c>
    </row>
    <row r="468" customFormat="false" ht="15" hidden="false" customHeight="false" outlineLevel="0" collapsed="false">
      <c r="A468" s="34" t="n">
        <v>46242</v>
      </c>
      <c r="B468" s="28" t="s">
        <v>108</v>
      </c>
      <c r="C468" s="35" t="n">
        <v>6676</v>
      </c>
      <c r="D468" s="35" t="n">
        <v>223</v>
      </c>
      <c r="E468" s="35" t="n">
        <v>11</v>
      </c>
      <c r="F468" s="35" t="n">
        <v>9</v>
      </c>
      <c r="G468" s="35" t="n">
        <v>27660</v>
      </c>
      <c r="H468" s="35" t="n">
        <v>2541</v>
      </c>
      <c r="I468" s="28" t="str">
        <f aca="false">INDEX(Campaigns!$C$2:$C$31,MATCH(B468,Campaigns!$A$2:$A$31,0))</f>
        <v>Email</v>
      </c>
      <c r="J468" s="40" t="n">
        <f aca="false">DATE(YEAR(A468),MONTH(A468),1)</f>
        <v>46235</v>
      </c>
    </row>
    <row r="469" customFormat="false" ht="15" hidden="false" customHeight="false" outlineLevel="0" collapsed="false">
      <c r="A469" s="34" t="n">
        <v>46242</v>
      </c>
      <c r="B469" s="28" t="s">
        <v>112</v>
      </c>
      <c r="C469" s="35" t="n">
        <v>997</v>
      </c>
      <c r="D469" s="35" t="n">
        <v>56</v>
      </c>
      <c r="E469" s="35" t="n">
        <v>4</v>
      </c>
      <c r="F469" s="35" t="n">
        <v>2</v>
      </c>
      <c r="G469" s="35" t="n">
        <v>5900</v>
      </c>
      <c r="H469" s="35" t="n">
        <v>1462</v>
      </c>
      <c r="I469" s="28" t="str">
        <f aca="false">INDEX(Campaigns!$C$2:$C$31,MATCH(B469,Campaigns!$A$2:$A$31,0))</f>
        <v>WhatsApp Broadcast</v>
      </c>
      <c r="J469" s="40" t="n">
        <f aca="false">DATE(YEAR(A469),MONTH(A469),1)</f>
        <v>46235</v>
      </c>
    </row>
    <row r="470" customFormat="false" ht="15" hidden="false" customHeight="false" outlineLevel="0" collapsed="false">
      <c r="A470" s="34" t="n">
        <v>46242</v>
      </c>
      <c r="B470" s="28" t="s">
        <v>114</v>
      </c>
      <c r="C470" s="35" t="n">
        <v>745</v>
      </c>
      <c r="D470" s="35" t="n">
        <v>35</v>
      </c>
      <c r="E470" s="35" t="n">
        <v>0</v>
      </c>
      <c r="F470" s="35" t="n">
        <v>0</v>
      </c>
      <c r="G470" s="35" t="n">
        <v>0</v>
      </c>
      <c r="H470" s="35" t="n">
        <v>1085</v>
      </c>
      <c r="I470" s="28" t="str">
        <f aca="false">INDEX(Campaigns!$C$2:$C$31,MATCH(B470,Campaigns!$A$2:$A$31,0))</f>
        <v>WhatsApp Broadcast</v>
      </c>
      <c r="J470" s="40" t="n">
        <f aca="false">DATE(YEAR(A470),MONTH(A470),1)</f>
        <v>46235</v>
      </c>
    </row>
    <row r="471" customFormat="false" ht="15" hidden="false" customHeight="false" outlineLevel="0" collapsed="false">
      <c r="A471" s="34" t="n">
        <v>46242</v>
      </c>
      <c r="B471" s="28" t="s">
        <v>116</v>
      </c>
      <c r="C471" s="35" t="n">
        <v>22255</v>
      </c>
      <c r="D471" s="35" t="n">
        <v>284</v>
      </c>
      <c r="E471" s="35" t="n">
        <v>10</v>
      </c>
      <c r="F471" s="35" t="n">
        <v>1</v>
      </c>
      <c r="G471" s="35" t="n">
        <v>3280</v>
      </c>
      <c r="H471" s="35" t="n">
        <v>6149</v>
      </c>
      <c r="I471" s="28" t="str">
        <f aca="false">INDEX(Campaigns!$C$2:$C$31,MATCH(B471,Campaigns!$A$2:$A$31,0))</f>
        <v>Facebook &amp; Instagram Ads</v>
      </c>
      <c r="J471" s="40" t="n">
        <f aca="false">DATE(YEAR(A471),MONTH(A471),1)</f>
        <v>46235</v>
      </c>
    </row>
    <row r="472" customFormat="false" ht="15" hidden="false" customHeight="false" outlineLevel="0" collapsed="false">
      <c r="A472" s="34" t="n">
        <v>46242</v>
      </c>
      <c r="B472" s="28" t="s">
        <v>118</v>
      </c>
      <c r="C472" s="35" t="n">
        <v>2627</v>
      </c>
      <c r="D472" s="35" t="n">
        <v>133</v>
      </c>
      <c r="E472" s="35" t="n">
        <v>8</v>
      </c>
      <c r="F472" s="35" t="n">
        <v>9</v>
      </c>
      <c r="G472" s="35" t="n">
        <v>28040</v>
      </c>
      <c r="H472" s="35" t="n">
        <v>2574</v>
      </c>
      <c r="I472" s="28" t="str">
        <f aca="false">INDEX(Campaigns!$C$2:$C$31,MATCH(B472,Campaigns!$A$2:$A$31,0))</f>
        <v>Google Search Ads</v>
      </c>
      <c r="J472" s="40" t="n">
        <f aca="false">DATE(YEAR(A472),MONTH(A472),1)</f>
        <v>46235</v>
      </c>
    </row>
    <row r="473" customFormat="false" ht="15" hidden="false" customHeight="false" outlineLevel="0" collapsed="false">
      <c r="A473" s="34" t="n">
        <v>46242</v>
      </c>
      <c r="B473" s="28" t="s">
        <v>122</v>
      </c>
      <c r="C473" s="35" t="n">
        <v>126320</v>
      </c>
      <c r="D473" s="35" t="n">
        <v>1008</v>
      </c>
      <c r="E473" s="35" t="n">
        <v>43</v>
      </c>
      <c r="F473" s="35" t="n">
        <v>10</v>
      </c>
      <c r="G473" s="35" t="n">
        <v>28130</v>
      </c>
      <c r="H473" s="35" t="n">
        <v>23891</v>
      </c>
      <c r="I473" s="28" t="str">
        <f aca="false">INDEX(Campaigns!$C$2:$C$31,MATCH(B473,Campaigns!$A$2:$A$31,0))</f>
        <v>TikTok Ads</v>
      </c>
      <c r="J473" s="40" t="n">
        <f aca="false">DATE(YEAR(A473),MONTH(A473),1)</f>
        <v>46235</v>
      </c>
    </row>
    <row r="474" customFormat="false" ht="15" hidden="false" customHeight="false" outlineLevel="0" collapsed="false">
      <c r="A474" s="34" t="n">
        <v>46242</v>
      </c>
      <c r="B474" s="28" t="s">
        <v>124</v>
      </c>
      <c r="C474" s="35" t="n">
        <v>7964</v>
      </c>
      <c r="D474" s="35" t="n">
        <v>192</v>
      </c>
      <c r="E474" s="35" t="n">
        <v>12</v>
      </c>
      <c r="F474" s="35" t="n">
        <v>4</v>
      </c>
      <c r="G474" s="35" t="n">
        <v>12790</v>
      </c>
      <c r="H474" s="35" t="n">
        <v>3046</v>
      </c>
      <c r="I474" s="28" t="str">
        <f aca="false">INDEX(Campaigns!$C$2:$C$31,MATCH(B474,Campaigns!$A$2:$A$31,0))</f>
        <v>Email</v>
      </c>
      <c r="J474" s="40" t="n">
        <f aca="false">DATE(YEAR(A474),MONTH(A474),1)</f>
        <v>46235</v>
      </c>
    </row>
    <row r="475" customFormat="false" ht="15" hidden="false" customHeight="false" outlineLevel="0" collapsed="false">
      <c r="A475" s="34" t="n">
        <v>46242</v>
      </c>
      <c r="B475" s="28" t="s">
        <v>126</v>
      </c>
      <c r="C475" s="35" t="n">
        <v>17158</v>
      </c>
      <c r="D475" s="35" t="n">
        <v>109</v>
      </c>
      <c r="E475" s="35" t="n">
        <v>4</v>
      </c>
      <c r="F475" s="35" t="n">
        <v>0</v>
      </c>
      <c r="G475" s="35" t="n">
        <v>0</v>
      </c>
      <c r="H475" s="35" t="n">
        <v>3197</v>
      </c>
      <c r="I475" s="28" t="str">
        <f aca="false">INDEX(Campaigns!$C$2:$C$31,MATCH(B475,Campaigns!$A$2:$A$31,0))</f>
        <v>TikTok Ads</v>
      </c>
      <c r="J475" s="40" t="n">
        <f aca="false">DATE(YEAR(A475),MONTH(A475),1)</f>
        <v>46235</v>
      </c>
    </row>
    <row r="476" customFormat="false" ht="15" hidden="false" customHeight="false" outlineLevel="0" collapsed="false">
      <c r="A476" s="34" t="n">
        <v>46242</v>
      </c>
      <c r="B476" s="28" t="s">
        <v>134</v>
      </c>
      <c r="C476" s="35" t="n">
        <v>2479</v>
      </c>
      <c r="D476" s="35" t="n">
        <v>171</v>
      </c>
      <c r="E476" s="35" t="n">
        <v>7</v>
      </c>
      <c r="F476" s="35" t="n">
        <v>11</v>
      </c>
      <c r="G476" s="35" t="n">
        <v>32420</v>
      </c>
      <c r="H476" s="35" t="n">
        <v>3254</v>
      </c>
      <c r="I476" s="28" t="str">
        <f aca="false">INDEX(Campaigns!$C$2:$C$31,MATCH(B476,Campaigns!$A$2:$A$31,0))</f>
        <v>WhatsApp Broadcast</v>
      </c>
      <c r="J476" s="40" t="n">
        <f aca="false">DATE(YEAR(A476),MONTH(A476),1)</f>
        <v>46235</v>
      </c>
    </row>
    <row r="477" customFormat="false" ht="15" hidden="false" customHeight="false" outlineLevel="0" collapsed="false">
      <c r="A477" s="34" t="n">
        <v>46242</v>
      </c>
      <c r="B477" s="28" t="s">
        <v>136</v>
      </c>
      <c r="C477" s="35" t="n">
        <v>13550</v>
      </c>
      <c r="D477" s="35" t="n">
        <v>379</v>
      </c>
      <c r="E477" s="35" t="n">
        <v>24</v>
      </c>
      <c r="F477" s="35" t="n">
        <v>14</v>
      </c>
      <c r="G477" s="35" t="n">
        <v>45460</v>
      </c>
      <c r="H477" s="35" t="n">
        <v>5012</v>
      </c>
      <c r="I477" s="28" t="str">
        <f aca="false">INDEX(Campaigns!$C$2:$C$31,MATCH(B477,Campaigns!$A$2:$A$31,0))</f>
        <v>Email</v>
      </c>
      <c r="J477" s="40" t="n">
        <f aca="false">DATE(YEAR(A477),MONTH(A477),1)</f>
        <v>46235</v>
      </c>
    </row>
    <row r="478" customFormat="false" ht="15" hidden="false" customHeight="false" outlineLevel="0" collapsed="false">
      <c r="A478" s="34" t="n">
        <v>46242</v>
      </c>
      <c r="B478" s="28" t="s">
        <v>139</v>
      </c>
      <c r="C478" s="35" t="n">
        <v>19897</v>
      </c>
      <c r="D478" s="35" t="n">
        <v>221</v>
      </c>
      <c r="E478" s="35" t="n">
        <v>7</v>
      </c>
      <c r="F478" s="35" t="n">
        <v>1</v>
      </c>
      <c r="G478" s="35" t="n">
        <v>2970</v>
      </c>
      <c r="H478" s="35" t="n">
        <v>3519</v>
      </c>
      <c r="I478" s="28" t="str">
        <f aca="false">INDEX(Campaigns!$C$2:$C$31,MATCH(B478,Campaigns!$A$2:$A$31,0))</f>
        <v>TikTok Ads</v>
      </c>
      <c r="J478" s="40" t="n">
        <f aca="false">DATE(YEAR(A478),MONTH(A478),1)</f>
        <v>46235</v>
      </c>
    </row>
    <row r="479" customFormat="false" ht="15" hidden="false" customHeight="false" outlineLevel="0" collapsed="false">
      <c r="A479" s="34" t="n">
        <v>46242</v>
      </c>
      <c r="B479" s="28" t="s">
        <v>141</v>
      </c>
      <c r="C479" s="35" t="n">
        <v>7357</v>
      </c>
      <c r="D479" s="35" t="n">
        <v>259</v>
      </c>
      <c r="E479" s="35" t="n">
        <v>12</v>
      </c>
      <c r="F479" s="35" t="n">
        <v>10</v>
      </c>
      <c r="G479" s="35" t="n">
        <v>30570</v>
      </c>
      <c r="H479" s="35" t="n">
        <v>2807</v>
      </c>
      <c r="I479" s="28" t="str">
        <f aca="false">INDEX(Campaigns!$C$2:$C$31,MATCH(B479,Campaigns!$A$2:$A$31,0))</f>
        <v>Email</v>
      </c>
      <c r="J479" s="40" t="n">
        <f aca="false">DATE(YEAR(A479),MONTH(A479),1)</f>
        <v>46235</v>
      </c>
    </row>
    <row r="480" customFormat="false" ht="15" hidden="false" customHeight="false" outlineLevel="0" collapsed="false">
      <c r="A480" s="34" t="n">
        <v>46242</v>
      </c>
      <c r="B480" s="28" t="s">
        <v>145</v>
      </c>
      <c r="C480" s="35" t="n">
        <v>8619</v>
      </c>
      <c r="D480" s="35" t="n">
        <v>444</v>
      </c>
      <c r="E480" s="35" t="n">
        <v>16</v>
      </c>
      <c r="F480" s="35" t="n">
        <v>25</v>
      </c>
      <c r="G480" s="35" t="n">
        <v>87570</v>
      </c>
      <c r="H480" s="35" t="n">
        <v>7143</v>
      </c>
      <c r="I480" s="28" t="str">
        <f aca="false">INDEX(Campaigns!$C$2:$C$31,MATCH(B480,Campaigns!$A$2:$A$31,0))</f>
        <v>Google Search Ads</v>
      </c>
      <c r="J480" s="40" t="n">
        <f aca="false">DATE(YEAR(A480),MONTH(A480),1)</f>
        <v>46235</v>
      </c>
    </row>
    <row r="481" customFormat="false" ht="15" hidden="false" customHeight="false" outlineLevel="0" collapsed="false">
      <c r="A481" s="34" t="n">
        <v>46242</v>
      </c>
      <c r="B481" s="28" t="s">
        <v>147</v>
      </c>
      <c r="C481" s="35" t="n">
        <v>25087</v>
      </c>
      <c r="D481" s="35" t="n">
        <v>364</v>
      </c>
      <c r="E481" s="35" t="n">
        <v>11</v>
      </c>
      <c r="F481" s="35" t="n">
        <v>1</v>
      </c>
      <c r="G481" s="35" t="n">
        <v>3490</v>
      </c>
      <c r="H481" s="35" t="n">
        <v>5796</v>
      </c>
      <c r="I481" s="28" t="str">
        <f aca="false">INDEX(Campaigns!$C$2:$C$31,MATCH(B481,Campaigns!$A$2:$A$31,0))</f>
        <v>Facebook &amp; Instagram Ads</v>
      </c>
      <c r="J481" s="40" t="n">
        <f aca="false">DATE(YEAR(A481),MONTH(A481),1)</f>
        <v>46235</v>
      </c>
    </row>
    <row r="482" customFormat="false" ht="15" hidden="false" customHeight="false" outlineLevel="0" collapsed="false">
      <c r="A482" s="34" t="n">
        <v>46242</v>
      </c>
      <c r="B482" s="28" t="s">
        <v>152</v>
      </c>
      <c r="C482" s="35" t="n">
        <v>8021</v>
      </c>
      <c r="D482" s="35" t="n">
        <v>81</v>
      </c>
      <c r="E482" s="35" t="n">
        <v>4</v>
      </c>
      <c r="F482" s="35" t="n">
        <v>4</v>
      </c>
      <c r="G482" s="35" t="n">
        <v>15010</v>
      </c>
      <c r="H482" s="35" t="n">
        <v>5260</v>
      </c>
      <c r="I482" s="28" t="str">
        <f aca="false">INDEX(Campaigns!$C$2:$C$31,MATCH(B482,Campaigns!$A$2:$A$31,0))</f>
        <v>Influencer Partnerships</v>
      </c>
      <c r="J482" s="40" t="n">
        <f aca="false">DATE(YEAR(A482),MONTH(A482),1)</f>
        <v>46235</v>
      </c>
    </row>
    <row r="483" customFormat="false" ht="15" hidden="false" customHeight="false" outlineLevel="0" collapsed="false">
      <c r="A483" s="34" t="n">
        <v>46242</v>
      </c>
      <c r="B483" s="28" t="s">
        <v>154</v>
      </c>
      <c r="C483" s="35" t="n">
        <v>5302</v>
      </c>
      <c r="D483" s="35" t="n">
        <v>54</v>
      </c>
      <c r="E483" s="35" t="n">
        <v>2</v>
      </c>
      <c r="F483" s="35" t="n">
        <v>1</v>
      </c>
      <c r="G483" s="35" t="n">
        <v>2840</v>
      </c>
      <c r="H483" s="35" t="n">
        <v>3493</v>
      </c>
      <c r="I483" s="28" t="str">
        <f aca="false">INDEX(Campaigns!$C$2:$C$31,MATCH(B483,Campaigns!$A$2:$A$31,0))</f>
        <v>Influencer Partnerships</v>
      </c>
      <c r="J483" s="40" t="n">
        <f aca="false">DATE(YEAR(A483),MONTH(A483),1)</f>
        <v>46235</v>
      </c>
    </row>
    <row r="484" customFormat="false" ht="15" hidden="false" customHeight="false" outlineLevel="0" collapsed="false">
      <c r="A484" s="34" t="n">
        <v>46242</v>
      </c>
      <c r="B484" s="28" t="s">
        <v>156</v>
      </c>
      <c r="C484" s="35" t="n">
        <v>38532</v>
      </c>
      <c r="D484" s="35" t="n">
        <v>342</v>
      </c>
      <c r="E484" s="35" t="n">
        <v>55</v>
      </c>
      <c r="F484" s="35" t="n">
        <v>5</v>
      </c>
      <c r="G484" s="35" t="n">
        <v>12850</v>
      </c>
      <c r="H484" s="35" t="n">
        <v>7455</v>
      </c>
      <c r="I484" s="28" t="str">
        <f aca="false">INDEX(Campaigns!$C$2:$C$31,MATCH(B484,Campaigns!$A$2:$A$31,0))</f>
        <v>TikTok Ads</v>
      </c>
      <c r="J484" s="40" t="n">
        <f aca="false">DATE(YEAR(A484),MONTH(A484),1)</f>
        <v>46235</v>
      </c>
    </row>
    <row r="485" customFormat="false" ht="15" hidden="false" customHeight="false" outlineLevel="0" collapsed="false">
      <c r="A485" s="34" t="n">
        <v>46242</v>
      </c>
      <c r="B485" s="28" t="s">
        <v>158</v>
      </c>
      <c r="C485" s="35" t="n">
        <v>18715</v>
      </c>
      <c r="D485" s="35" t="n">
        <v>173</v>
      </c>
      <c r="E485" s="35" t="n">
        <v>24</v>
      </c>
      <c r="F485" s="35" t="n">
        <v>7</v>
      </c>
      <c r="G485" s="35" t="n">
        <v>28830</v>
      </c>
      <c r="H485" s="35" t="n">
        <v>10326</v>
      </c>
      <c r="I485" s="28" t="str">
        <f aca="false">INDEX(Campaigns!$C$2:$C$31,MATCH(B485,Campaigns!$A$2:$A$31,0))</f>
        <v>Influencer Partnerships</v>
      </c>
      <c r="J485" s="40" t="n">
        <f aca="false">DATE(YEAR(A485),MONTH(A485),1)</f>
        <v>46235</v>
      </c>
    </row>
    <row r="486" customFormat="false" ht="15" hidden="false" customHeight="false" outlineLevel="0" collapsed="false">
      <c r="A486" s="34" t="n">
        <v>46242</v>
      </c>
      <c r="B486" s="28" t="s">
        <v>161</v>
      </c>
      <c r="C486" s="35" t="n">
        <v>38761</v>
      </c>
      <c r="D486" s="35" t="n">
        <v>495</v>
      </c>
      <c r="E486" s="35" t="n">
        <v>12</v>
      </c>
      <c r="F486" s="35" t="n">
        <v>2</v>
      </c>
      <c r="G486" s="35" t="n">
        <v>4360</v>
      </c>
      <c r="H486" s="35" t="n">
        <v>10388</v>
      </c>
      <c r="I486" s="28" t="str">
        <f aca="false">INDEX(Campaigns!$C$2:$C$31,MATCH(B486,Campaigns!$A$2:$A$31,0))</f>
        <v>Facebook &amp; Instagram Ads</v>
      </c>
      <c r="J486" s="40" t="n">
        <f aca="false">DATE(YEAR(A486),MONTH(A486),1)</f>
        <v>46235</v>
      </c>
    </row>
    <row r="487" customFormat="false" ht="15" hidden="false" customHeight="false" outlineLevel="0" collapsed="false">
      <c r="A487" s="34" t="n">
        <v>46242</v>
      </c>
      <c r="B487" s="28" t="s">
        <v>163</v>
      </c>
      <c r="C487" s="35" t="n">
        <v>1570</v>
      </c>
      <c r="D487" s="35" t="n">
        <v>53</v>
      </c>
      <c r="E487" s="35" t="n">
        <v>2</v>
      </c>
      <c r="F487" s="35" t="n">
        <v>1</v>
      </c>
      <c r="G487" s="35" t="n">
        <v>3840</v>
      </c>
      <c r="H487" s="35" t="n">
        <v>506</v>
      </c>
      <c r="I487" s="28" t="str">
        <f aca="false">INDEX(Campaigns!$C$2:$C$31,MATCH(B487,Campaigns!$A$2:$A$31,0))</f>
        <v>Email</v>
      </c>
      <c r="J487" s="40" t="n">
        <f aca="false">DATE(YEAR(A487),MONTH(A487),1)</f>
        <v>46235</v>
      </c>
    </row>
    <row r="488" customFormat="false" ht="15" hidden="false" customHeight="false" outlineLevel="0" collapsed="false">
      <c r="A488" s="34" t="n">
        <v>46243</v>
      </c>
      <c r="B488" s="28" t="s">
        <v>105</v>
      </c>
      <c r="C488" s="35" t="n">
        <v>5410</v>
      </c>
      <c r="D488" s="35" t="n">
        <v>204</v>
      </c>
      <c r="E488" s="35" t="n">
        <v>10</v>
      </c>
      <c r="F488" s="35" t="n">
        <v>7</v>
      </c>
      <c r="G488" s="35" t="n">
        <v>29960</v>
      </c>
      <c r="H488" s="35" t="n">
        <v>4833</v>
      </c>
      <c r="I488" s="28" t="str">
        <f aca="false">INDEX(Campaigns!$C$2:$C$31,MATCH(B488,Campaigns!$A$2:$A$31,0))</f>
        <v>Google Search Ads</v>
      </c>
      <c r="J488" s="40" t="n">
        <f aca="false">DATE(YEAR(A488),MONTH(A488),1)</f>
        <v>46235</v>
      </c>
    </row>
    <row r="489" customFormat="false" ht="15" hidden="false" customHeight="false" outlineLevel="0" collapsed="false">
      <c r="A489" s="34" t="n">
        <v>46243</v>
      </c>
      <c r="B489" s="28" t="s">
        <v>108</v>
      </c>
      <c r="C489" s="35" t="n">
        <v>7455</v>
      </c>
      <c r="D489" s="35" t="n">
        <v>264</v>
      </c>
      <c r="E489" s="35" t="n">
        <v>15</v>
      </c>
      <c r="F489" s="35" t="n">
        <v>12</v>
      </c>
      <c r="G489" s="35" t="n">
        <v>38700</v>
      </c>
      <c r="H489" s="35" t="n">
        <v>2386</v>
      </c>
      <c r="I489" s="28" t="str">
        <f aca="false">INDEX(Campaigns!$C$2:$C$31,MATCH(B489,Campaigns!$A$2:$A$31,0))</f>
        <v>Email</v>
      </c>
      <c r="J489" s="40" t="n">
        <f aca="false">DATE(YEAR(A489),MONTH(A489),1)</f>
        <v>46235</v>
      </c>
    </row>
    <row r="490" customFormat="false" ht="15" hidden="false" customHeight="false" outlineLevel="0" collapsed="false">
      <c r="A490" s="34" t="n">
        <v>46243</v>
      </c>
      <c r="B490" s="28" t="s">
        <v>112</v>
      </c>
      <c r="C490" s="35" t="n">
        <v>1318</v>
      </c>
      <c r="D490" s="35" t="n">
        <v>68</v>
      </c>
      <c r="E490" s="35" t="n">
        <v>1</v>
      </c>
      <c r="F490" s="35" t="n">
        <v>3</v>
      </c>
      <c r="G490" s="35" t="n">
        <v>10710</v>
      </c>
      <c r="H490" s="35" t="n">
        <v>1855</v>
      </c>
      <c r="I490" s="28" t="str">
        <f aca="false">INDEX(Campaigns!$C$2:$C$31,MATCH(B490,Campaigns!$A$2:$A$31,0))</f>
        <v>WhatsApp Broadcast</v>
      </c>
      <c r="J490" s="40" t="n">
        <f aca="false">DATE(YEAR(A490),MONTH(A490),1)</f>
        <v>46235</v>
      </c>
    </row>
    <row r="491" customFormat="false" ht="15" hidden="false" customHeight="false" outlineLevel="0" collapsed="false">
      <c r="A491" s="34" t="n">
        <v>46243</v>
      </c>
      <c r="B491" s="28" t="s">
        <v>114</v>
      </c>
      <c r="C491" s="35" t="n">
        <v>736</v>
      </c>
      <c r="D491" s="35" t="n">
        <v>44</v>
      </c>
      <c r="E491" s="35" t="n">
        <v>1</v>
      </c>
      <c r="F491" s="35" t="n">
        <v>1</v>
      </c>
      <c r="G491" s="35" t="n">
        <v>2500</v>
      </c>
      <c r="H491" s="35" t="n">
        <v>1137</v>
      </c>
      <c r="I491" s="28" t="str">
        <f aca="false">INDEX(Campaigns!$C$2:$C$31,MATCH(B491,Campaigns!$A$2:$A$31,0))</f>
        <v>WhatsApp Broadcast</v>
      </c>
      <c r="J491" s="40" t="n">
        <f aca="false">DATE(YEAR(A491),MONTH(A491),1)</f>
        <v>46235</v>
      </c>
    </row>
    <row r="492" customFormat="false" ht="15" hidden="false" customHeight="false" outlineLevel="0" collapsed="false">
      <c r="A492" s="34" t="n">
        <v>46243</v>
      </c>
      <c r="B492" s="28" t="s">
        <v>116</v>
      </c>
      <c r="C492" s="35" t="n">
        <v>25765</v>
      </c>
      <c r="D492" s="35" t="n">
        <v>288</v>
      </c>
      <c r="E492" s="35" t="n">
        <v>14</v>
      </c>
      <c r="F492" s="35" t="n">
        <v>7</v>
      </c>
      <c r="G492" s="35" t="n">
        <v>24560</v>
      </c>
      <c r="H492" s="35" t="n">
        <v>6221</v>
      </c>
      <c r="I492" s="28" t="str">
        <f aca="false">INDEX(Campaigns!$C$2:$C$31,MATCH(B492,Campaigns!$A$2:$A$31,0))</f>
        <v>Facebook &amp; Instagram Ads</v>
      </c>
      <c r="J492" s="40" t="n">
        <f aca="false">DATE(YEAR(A492),MONTH(A492),1)</f>
        <v>46235</v>
      </c>
    </row>
    <row r="493" customFormat="false" ht="15" hidden="false" customHeight="false" outlineLevel="0" collapsed="false">
      <c r="A493" s="34" t="n">
        <v>46243</v>
      </c>
      <c r="B493" s="28" t="s">
        <v>118</v>
      </c>
      <c r="C493" s="35" t="n">
        <v>3431</v>
      </c>
      <c r="D493" s="35" t="n">
        <v>188</v>
      </c>
      <c r="E493" s="35" t="n">
        <v>7</v>
      </c>
      <c r="F493" s="35" t="n">
        <v>6</v>
      </c>
      <c r="G493" s="35" t="n">
        <v>21900</v>
      </c>
      <c r="H493" s="35" t="n">
        <v>2835</v>
      </c>
      <c r="I493" s="28" t="str">
        <f aca="false">INDEX(Campaigns!$C$2:$C$31,MATCH(B493,Campaigns!$A$2:$A$31,0))</f>
        <v>Google Search Ads</v>
      </c>
      <c r="J493" s="40" t="n">
        <f aca="false">DATE(YEAR(A493),MONTH(A493),1)</f>
        <v>46235</v>
      </c>
    </row>
    <row r="494" customFormat="false" ht="15" hidden="false" customHeight="false" outlineLevel="0" collapsed="false">
      <c r="A494" s="34" t="n">
        <v>46243</v>
      </c>
      <c r="B494" s="28" t="s">
        <v>122</v>
      </c>
      <c r="C494" s="35" t="n">
        <v>127227</v>
      </c>
      <c r="D494" s="35" t="n">
        <v>975</v>
      </c>
      <c r="E494" s="35" t="n">
        <v>30</v>
      </c>
      <c r="F494" s="35" t="n">
        <v>7</v>
      </c>
      <c r="G494" s="35" t="n">
        <v>19950</v>
      </c>
      <c r="H494" s="35" t="n">
        <v>22879</v>
      </c>
      <c r="I494" s="28" t="str">
        <f aca="false">INDEX(Campaigns!$C$2:$C$31,MATCH(B494,Campaigns!$A$2:$A$31,0))</f>
        <v>TikTok Ads</v>
      </c>
      <c r="J494" s="40" t="n">
        <f aca="false">DATE(YEAR(A494),MONTH(A494),1)</f>
        <v>46235</v>
      </c>
    </row>
    <row r="495" customFormat="false" ht="15" hidden="false" customHeight="false" outlineLevel="0" collapsed="false">
      <c r="A495" s="34" t="n">
        <v>46243</v>
      </c>
      <c r="B495" s="28" t="s">
        <v>124</v>
      </c>
      <c r="C495" s="35" t="n">
        <v>8573</v>
      </c>
      <c r="D495" s="35" t="n">
        <v>178</v>
      </c>
      <c r="E495" s="35" t="n">
        <v>4</v>
      </c>
      <c r="F495" s="35" t="n">
        <v>4</v>
      </c>
      <c r="G495" s="35" t="n">
        <v>12340</v>
      </c>
      <c r="H495" s="35" t="n">
        <v>3042</v>
      </c>
      <c r="I495" s="28" t="str">
        <f aca="false">INDEX(Campaigns!$C$2:$C$31,MATCH(B495,Campaigns!$A$2:$A$31,0))</f>
        <v>Email</v>
      </c>
      <c r="J495" s="40" t="n">
        <f aca="false">DATE(YEAR(A495),MONTH(A495),1)</f>
        <v>46235</v>
      </c>
    </row>
    <row r="496" customFormat="false" ht="15" hidden="false" customHeight="false" outlineLevel="0" collapsed="false">
      <c r="A496" s="34" t="n">
        <v>46243</v>
      </c>
      <c r="B496" s="28" t="s">
        <v>126</v>
      </c>
      <c r="C496" s="35" t="n">
        <v>20438</v>
      </c>
      <c r="D496" s="35" t="n">
        <v>133</v>
      </c>
      <c r="E496" s="35" t="n">
        <v>10</v>
      </c>
      <c r="F496" s="35" t="n">
        <v>1</v>
      </c>
      <c r="G496" s="35" t="n">
        <v>2630</v>
      </c>
      <c r="H496" s="35" t="n">
        <v>3396</v>
      </c>
      <c r="I496" s="28" t="str">
        <f aca="false">INDEX(Campaigns!$C$2:$C$31,MATCH(B496,Campaigns!$A$2:$A$31,0))</f>
        <v>TikTok Ads</v>
      </c>
      <c r="J496" s="40" t="n">
        <f aca="false">DATE(YEAR(A496),MONTH(A496),1)</f>
        <v>46235</v>
      </c>
    </row>
    <row r="497" customFormat="false" ht="15" hidden="false" customHeight="false" outlineLevel="0" collapsed="false">
      <c r="A497" s="34" t="n">
        <v>46243</v>
      </c>
      <c r="B497" s="28" t="s">
        <v>128</v>
      </c>
      <c r="C497" s="35" t="n">
        <v>30698</v>
      </c>
      <c r="D497" s="35" t="n">
        <v>1846</v>
      </c>
      <c r="E497" s="35" t="n">
        <v>72</v>
      </c>
      <c r="F497" s="35" t="n">
        <v>121</v>
      </c>
      <c r="G497" s="35" t="n">
        <v>452970</v>
      </c>
      <c r="H497" s="35" t="n">
        <v>26713</v>
      </c>
      <c r="I497" s="28" t="str">
        <f aca="false">INDEX(Campaigns!$C$2:$C$31,MATCH(B497,Campaigns!$A$2:$A$31,0))</f>
        <v>Google Search Ads</v>
      </c>
      <c r="J497" s="40" t="n">
        <f aca="false">DATE(YEAR(A497),MONTH(A497),1)</f>
        <v>46235</v>
      </c>
    </row>
    <row r="498" customFormat="false" ht="15" hidden="false" customHeight="false" outlineLevel="0" collapsed="false">
      <c r="A498" s="34" t="n">
        <v>46243</v>
      </c>
      <c r="B498" s="28" t="s">
        <v>130</v>
      </c>
      <c r="C498" s="35" t="n">
        <v>3649</v>
      </c>
      <c r="D498" s="35" t="n">
        <v>281</v>
      </c>
      <c r="E498" s="35" t="n">
        <v>11</v>
      </c>
      <c r="F498" s="35" t="n">
        <v>24</v>
      </c>
      <c r="G498" s="35" t="n">
        <v>67900</v>
      </c>
      <c r="H498" s="35" t="n">
        <v>4818</v>
      </c>
      <c r="I498" s="28" t="str">
        <f aca="false">INDEX(Campaigns!$C$2:$C$31,MATCH(B498,Campaigns!$A$2:$A$31,0))</f>
        <v>WhatsApp Broadcast</v>
      </c>
      <c r="J498" s="40" t="n">
        <f aca="false">DATE(YEAR(A498),MONTH(A498),1)</f>
        <v>46235</v>
      </c>
    </row>
    <row r="499" customFormat="false" ht="15" hidden="false" customHeight="false" outlineLevel="0" collapsed="false">
      <c r="A499" s="34" t="n">
        <v>46243</v>
      </c>
      <c r="B499" s="28" t="s">
        <v>134</v>
      </c>
      <c r="C499" s="35" t="n">
        <v>2345</v>
      </c>
      <c r="D499" s="35" t="n">
        <v>141</v>
      </c>
      <c r="E499" s="35" t="n">
        <v>9</v>
      </c>
      <c r="F499" s="35" t="n">
        <v>11</v>
      </c>
      <c r="G499" s="35" t="n">
        <v>33790</v>
      </c>
      <c r="H499" s="35" t="n">
        <v>3277</v>
      </c>
      <c r="I499" s="28" t="str">
        <f aca="false">INDEX(Campaigns!$C$2:$C$31,MATCH(B499,Campaigns!$A$2:$A$31,0))</f>
        <v>WhatsApp Broadcast</v>
      </c>
      <c r="J499" s="40" t="n">
        <f aca="false">DATE(YEAR(A499),MONTH(A499),1)</f>
        <v>46235</v>
      </c>
    </row>
    <row r="500" customFormat="false" ht="15" hidden="false" customHeight="false" outlineLevel="0" collapsed="false">
      <c r="A500" s="34" t="n">
        <v>46243</v>
      </c>
      <c r="B500" s="28" t="s">
        <v>136</v>
      </c>
      <c r="C500" s="35" t="n">
        <v>13511</v>
      </c>
      <c r="D500" s="35" t="n">
        <v>425</v>
      </c>
      <c r="E500" s="35" t="n">
        <v>13</v>
      </c>
      <c r="F500" s="35" t="n">
        <v>10</v>
      </c>
      <c r="G500" s="35" t="n">
        <v>29850</v>
      </c>
      <c r="H500" s="35" t="n">
        <v>4477</v>
      </c>
      <c r="I500" s="28" t="str">
        <f aca="false">INDEX(Campaigns!$C$2:$C$31,MATCH(B500,Campaigns!$A$2:$A$31,0))</f>
        <v>Email</v>
      </c>
      <c r="J500" s="40" t="n">
        <f aca="false">DATE(YEAR(A500),MONTH(A500),1)</f>
        <v>46235</v>
      </c>
    </row>
    <row r="501" customFormat="false" ht="15" hidden="false" customHeight="false" outlineLevel="0" collapsed="false">
      <c r="A501" s="34" t="n">
        <v>46243</v>
      </c>
      <c r="B501" s="28" t="s">
        <v>139</v>
      </c>
      <c r="C501" s="35" t="n">
        <v>20070</v>
      </c>
      <c r="D501" s="35" t="n">
        <v>192</v>
      </c>
      <c r="E501" s="35" t="n">
        <v>11</v>
      </c>
      <c r="F501" s="35" t="n">
        <v>4</v>
      </c>
      <c r="G501" s="35" t="n">
        <v>12240</v>
      </c>
      <c r="H501" s="35" t="n">
        <v>3531</v>
      </c>
      <c r="I501" s="28" t="str">
        <f aca="false">INDEX(Campaigns!$C$2:$C$31,MATCH(B501,Campaigns!$A$2:$A$31,0))</f>
        <v>TikTok Ads</v>
      </c>
      <c r="J501" s="40" t="n">
        <f aca="false">DATE(YEAR(A501),MONTH(A501),1)</f>
        <v>46235</v>
      </c>
    </row>
    <row r="502" customFormat="false" ht="15" hidden="false" customHeight="false" outlineLevel="0" collapsed="false">
      <c r="A502" s="34" t="n">
        <v>46243</v>
      </c>
      <c r="B502" s="28" t="s">
        <v>141</v>
      </c>
      <c r="C502" s="35" t="n">
        <v>7354</v>
      </c>
      <c r="D502" s="35" t="n">
        <v>224</v>
      </c>
      <c r="E502" s="35" t="n">
        <v>3</v>
      </c>
      <c r="F502" s="35" t="n">
        <v>8</v>
      </c>
      <c r="G502" s="35" t="n">
        <v>21410</v>
      </c>
      <c r="H502" s="35" t="n">
        <v>2739</v>
      </c>
      <c r="I502" s="28" t="str">
        <f aca="false">INDEX(Campaigns!$C$2:$C$31,MATCH(B502,Campaigns!$A$2:$A$31,0))</f>
        <v>Email</v>
      </c>
      <c r="J502" s="40" t="n">
        <f aca="false">DATE(YEAR(A502),MONTH(A502),1)</f>
        <v>46235</v>
      </c>
    </row>
    <row r="503" customFormat="false" ht="15" hidden="false" customHeight="false" outlineLevel="0" collapsed="false">
      <c r="A503" s="34" t="n">
        <v>46243</v>
      </c>
      <c r="B503" s="28" t="s">
        <v>145</v>
      </c>
      <c r="C503" s="35" t="n">
        <v>8072</v>
      </c>
      <c r="D503" s="35" t="n">
        <v>434</v>
      </c>
      <c r="E503" s="35" t="n">
        <v>16</v>
      </c>
      <c r="F503" s="35" t="n">
        <v>18</v>
      </c>
      <c r="G503" s="35" t="n">
        <v>64420</v>
      </c>
      <c r="H503" s="35" t="n">
        <v>6799</v>
      </c>
      <c r="I503" s="28" t="str">
        <f aca="false">INDEX(Campaigns!$C$2:$C$31,MATCH(B503,Campaigns!$A$2:$A$31,0))</f>
        <v>Google Search Ads</v>
      </c>
      <c r="J503" s="40" t="n">
        <f aca="false">DATE(YEAR(A503),MONTH(A503),1)</f>
        <v>46235</v>
      </c>
    </row>
    <row r="504" customFormat="false" ht="15" hidden="false" customHeight="false" outlineLevel="0" collapsed="false">
      <c r="A504" s="34" t="n">
        <v>46243</v>
      </c>
      <c r="B504" s="28" t="s">
        <v>147</v>
      </c>
      <c r="C504" s="35" t="n">
        <v>25475</v>
      </c>
      <c r="D504" s="35" t="n">
        <v>346</v>
      </c>
      <c r="E504" s="35" t="n">
        <v>10</v>
      </c>
      <c r="F504" s="35" t="n">
        <v>0</v>
      </c>
      <c r="G504" s="35" t="n">
        <v>0</v>
      </c>
      <c r="H504" s="35" t="n">
        <v>6076</v>
      </c>
      <c r="I504" s="28" t="str">
        <f aca="false">INDEX(Campaigns!$C$2:$C$31,MATCH(B504,Campaigns!$A$2:$A$31,0))</f>
        <v>Facebook &amp; Instagram Ads</v>
      </c>
      <c r="J504" s="40" t="n">
        <f aca="false">DATE(YEAR(A504),MONTH(A504),1)</f>
        <v>46235</v>
      </c>
    </row>
    <row r="505" customFormat="false" ht="15" hidden="false" customHeight="false" outlineLevel="0" collapsed="false">
      <c r="A505" s="34" t="n">
        <v>46243</v>
      </c>
      <c r="B505" s="28" t="s">
        <v>152</v>
      </c>
      <c r="C505" s="35" t="n">
        <v>8137</v>
      </c>
      <c r="D505" s="35" t="n">
        <v>86</v>
      </c>
      <c r="E505" s="35" t="n">
        <v>1</v>
      </c>
      <c r="F505" s="35" t="n">
        <v>0</v>
      </c>
      <c r="G505" s="35" t="n">
        <v>0</v>
      </c>
      <c r="H505" s="35" t="n">
        <v>4604</v>
      </c>
      <c r="I505" s="28" t="str">
        <f aca="false">INDEX(Campaigns!$C$2:$C$31,MATCH(B505,Campaigns!$A$2:$A$31,0))</f>
        <v>Influencer Partnerships</v>
      </c>
      <c r="J505" s="40" t="n">
        <f aca="false">DATE(YEAR(A505),MONTH(A505),1)</f>
        <v>46235</v>
      </c>
    </row>
    <row r="506" customFormat="false" ht="15" hidden="false" customHeight="false" outlineLevel="0" collapsed="false">
      <c r="A506" s="34" t="n">
        <v>46243</v>
      </c>
      <c r="B506" s="28" t="s">
        <v>154</v>
      </c>
      <c r="C506" s="35" t="n">
        <v>6258</v>
      </c>
      <c r="D506" s="35" t="n">
        <v>63</v>
      </c>
      <c r="E506" s="35" t="n">
        <v>3</v>
      </c>
      <c r="F506" s="35" t="n">
        <v>0</v>
      </c>
      <c r="G506" s="35" t="n">
        <v>0</v>
      </c>
      <c r="H506" s="35" t="n">
        <v>3868</v>
      </c>
      <c r="I506" s="28" t="str">
        <f aca="false">INDEX(Campaigns!$C$2:$C$31,MATCH(B506,Campaigns!$A$2:$A$31,0))</f>
        <v>Influencer Partnerships</v>
      </c>
      <c r="J506" s="40" t="n">
        <f aca="false">DATE(YEAR(A506),MONTH(A506),1)</f>
        <v>46235</v>
      </c>
    </row>
    <row r="507" customFormat="false" ht="15" hidden="false" customHeight="false" outlineLevel="0" collapsed="false">
      <c r="A507" s="34" t="n">
        <v>46243</v>
      </c>
      <c r="B507" s="28" t="s">
        <v>156</v>
      </c>
      <c r="C507" s="35" t="n">
        <v>52780</v>
      </c>
      <c r="D507" s="35" t="n">
        <v>539</v>
      </c>
      <c r="E507" s="35" t="n">
        <v>87</v>
      </c>
      <c r="F507" s="35" t="n">
        <v>13</v>
      </c>
      <c r="G507" s="35" t="n">
        <v>35330</v>
      </c>
      <c r="H507" s="35" t="n">
        <v>8912</v>
      </c>
      <c r="I507" s="28" t="str">
        <f aca="false">INDEX(Campaigns!$C$2:$C$31,MATCH(B507,Campaigns!$A$2:$A$31,0))</f>
        <v>TikTok Ads</v>
      </c>
      <c r="J507" s="40" t="n">
        <f aca="false">DATE(YEAR(A507),MONTH(A507),1)</f>
        <v>46235</v>
      </c>
    </row>
    <row r="508" customFormat="false" ht="15" hidden="false" customHeight="false" outlineLevel="0" collapsed="false">
      <c r="A508" s="34" t="n">
        <v>46243</v>
      </c>
      <c r="B508" s="28" t="s">
        <v>158</v>
      </c>
      <c r="C508" s="35" t="n">
        <v>18354</v>
      </c>
      <c r="D508" s="35" t="n">
        <v>157</v>
      </c>
      <c r="E508" s="35" t="n">
        <v>25</v>
      </c>
      <c r="F508" s="35" t="n">
        <v>4</v>
      </c>
      <c r="G508" s="35" t="n">
        <v>13720</v>
      </c>
      <c r="H508" s="35" t="n">
        <v>10746</v>
      </c>
      <c r="I508" s="28" t="str">
        <f aca="false">INDEX(Campaigns!$C$2:$C$31,MATCH(B508,Campaigns!$A$2:$A$31,0))</f>
        <v>Influencer Partnerships</v>
      </c>
      <c r="J508" s="40" t="n">
        <f aca="false">DATE(YEAR(A508),MONTH(A508),1)</f>
        <v>46235</v>
      </c>
    </row>
    <row r="509" customFormat="false" ht="15" hidden="false" customHeight="false" outlineLevel="0" collapsed="false">
      <c r="A509" s="34" t="n">
        <v>46243</v>
      </c>
      <c r="B509" s="28" t="s">
        <v>159</v>
      </c>
      <c r="C509" s="35" t="n">
        <v>25139</v>
      </c>
      <c r="D509" s="35" t="n">
        <v>342</v>
      </c>
      <c r="E509" s="35" t="n">
        <v>39</v>
      </c>
      <c r="F509" s="35" t="n">
        <v>4</v>
      </c>
      <c r="G509" s="35" t="n">
        <v>13760</v>
      </c>
      <c r="H509" s="35" t="n">
        <v>6349</v>
      </c>
      <c r="I509" s="28" t="str">
        <f aca="false">INDEX(Campaigns!$C$2:$C$31,MATCH(B509,Campaigns!$A$2:$A$31,0))</f>
        <v>Facebook &amp; Instagram Ads</v>
      </c>
      <c r="J509" s="40" t="n">
        <f aca="false">DATE(YEAR(A509),MONTH(A509),1)</f>
        <v>46235</v>
      </c>
    </row>
    <row r="510" customFormat="false" ht="15" hidden="false" customHeight="false" outlineLevel="0" collapsed="false">
      <c r="A510" s="34" t="n">
        <v>46243</v>
      </c>
      <c r="B510" s="28" t="s">
        <v>161</v>
      </c>
      <c r="C510" s="35" t="n">
        <v>46441</v>
      </c>
      <c r="D510" s="35" t="n">
        <v>593</v>
      </c>
      <c r="E510" s="35" t="n">
        <v>7</v>
      </c>
      <c r="F510" s="35" t="n">
        <v>1</v>
      </c>
      <c r="G510" s="35" t="n">
        <v>3250</v>
      </c>
      <c r="H510" s="35" t="n">
        <v>11193</v>
      </c>
      <c r="I510" s="28" t="str">
        <f aca="false">INDEX(Campaigns!$C$2:$C$31,MATCH(B510,Campaigns!$A$2:$A$31,0))</f>
        <v>Facebook &amp; Instagram Ads</v>
      </c>
      <c r="J510" s="40" t="n">
        <f aca="false">DATE(YEAR(A510),MONTH(A510),1)</f>
        <v>46235</v>
      </c>
    </row>
    <row r="511" customFormat="false" ht="15" hidden="false" customHeight="false" outlineLevel="0" collapsed="false">
      <c r="A511" s="34" t="n">
        <v>46243</v>
      </c>
      <c r="B511" s="28" t="s">
        <v>163</v>
      </c>
      <c r="C511" s="35" t="n">
        <v>1900</v>
      </c>
      <c r="D511" s="35" t="n">
        <v>66</v>
      </c>
      <c r="E511" s="35" t="n">
        <v>6</v>
      </c>
      <c r="F511" s="35" t="n">
        <v>5</v>
      </c>
      <c r="G511" s="35" t="n">
        <v>18410</v>
      </c>
      <c r="H511" s="35" t="n">
        <v>617</v>
      </c>
      <c r="I511" s="28" t="str">
        <f aca="false">INDEX(Campaigns!$C$2:$C$31,MATCH(B511,Campaigns!$A$2:$A$31,0))</f>
        <v>Email</v>
      </c>
      <c r="J511" s="40" t="n">
        <f aca="false">DATE(YEAR(A511),MONTH(A511),1)</f>
        <v>46235</v>
      </c>
    </row>
    <row r="512" customFormat="false" ht="15" hidden="false" customHeight="false" outlineLevel="0" collapsed="false">
      <c r="A512" s="34" t="n">
        <v>46244</v>
      </c>
      <c r="B512" s="28" t="s">
        <v>105</v>
      </c>
      <c r="C512" s="35" t="n">
        <v>5099</v>
      </c>
      <c r="D512" s="35" t="n">
        <v>194</v>
      </c>
      <c r="E512" s="35" t="n">
        <v>10</v>
      </c>
      <c r="F512" s="35" t="n">
        <v>5</v>
      </c>
      <c r="G512" s="35" t="n">
        <v>23430</v>
      </c>
      <c r="H512" s="35" t="n">
        <v>4777</v>
      </c>
      <c r="I512" s="28" t="str">
        <f aca="false">INDEX(Campaigns!$C$2:$C$31,MATCH(B512,Campaigns!$A$2:$A$31,0))</f>
        <v>Google Search Ads</v>
      </c>
      <c r="J512" s="40" t="n">
        <f aca="false">DATE(YEAR(A512),MONTH(A512),1)</f>
        <v>46235</v>
      </c>
    </row>
    <row r="513" customFormat="false" ht="15" hidden="false" customHeight="false" outlineLevel="0" collapsed="false">
      <c r="A513" s="34" t="n">
        <v>46244</v>
      </c>
      <c r="B513" s="28" t="s">
        <v>108</v>
      </c>
      <c r="C513" s="35" t="n">
        <v>7900</v>
      </c>
      <c r="D513" s="35" t="n">
        <v>245</v>
      </c>
      <c r="E513" s="35" t="n">
        <v>7</v>
      </c>
      <c r="F513" s="35" t="n">
        <v>10</v>
      </c>
      <c r="G513" s="35" t="n">
        <v>28700</v>
      </c>
      <c r="H513" s="35" t="n">
        <v>2672</v>
      </c>
      <c r="I513" s="28" t="str">
        <f aca="false">INDEX(Campaigns!$C$2:$C$31,MATCH(B513,Campaigns!$A$2:$A$31,0))</f>
        <v>Email</v>
      </c>
      <c r="J513" s="40" t="n">
        <f aca="false">DATE(YEAR(A513),MONTH(A513),1)</f>
        <v>46235</v>
      </c>
    </row>
    <row r="514" customFormat="false" ht="15" hidden="false" customHeight="false" outlineLevel="0" collapsed="false">
      <c r="A514" s="34" t="n">
        <v>46244</v>
      </c>
      <c r="B514" s="28" t="s">
        <v>112</v>
      </c>
      <c r="C514" s="35" t="n">
        <v>1158</v>
      </c>
      <c r="D514" s="35" t="n">
        <v>70</v>
      </c>
      <c r="E514" s="35" t="n">
        <v>1</v>
      </c>
      <c r="F514" s="35" t="n">
        <v>1</v>
      </c>
      <c r="G514" s="35" t="n">
        <v>3240</v>
      </c>
      <c r="H514" s="35" t="n">
        <v>1698</v>
      </c>
      <c r="I514" s="28" t="str">
        <f aca="false">INDEX(Campaigns!$C$2:$C$31,MATCH(B514,Campaigns!$A$2:$A$31,0))</f>
        <v>WhatsApp Broadcast</v>
      </c>
      <c r="J514" s="40" t="n">
        <f aca="false">DATE(YEAR(A514),MONTH(A514),1)</f>
        <v>46235</v>
      </c>
    </row>
    <row r="515" customFormat="false" ht="15" hidden="false" customHeight="false" outlineLevel="0" collapsed="false">
      <c r="A515" s="34" t="n">
        <v>46244</v>
      </c>
      <c r="B515" s="28" t="s">
        <v>114</v>
      </c>
      <c r="C515" s="35" t="n">
        <v>735</v>
      </c>
      <c r="D515" s="35" t="n">
        <v>50</v>
      </c>
      <c r="E515" s="35" t="n">
        <v>3</v>
      </c>
      <c r="F515" s="35" t="n">
        <v>3</v>
      </c>
      <c r="G515" s="35" t="n">
        <v>6560</v>
      </c>
      <c r="H515" s="35" t="n">
        <v>947</v>
      </c>
      <c r="I515" s="28" t="str">
        <f aca="false">INDEX(Campaigns!$C$2:$C$31,MATCH(B515,Campaigns!$A$2:$A$31,0))</f>
        <v>WhatsApp Broadcast</v>
      </c>
      <c r="J515" s="40" t="n">
        <f aca="false">DATE(YEAR(A515),MONTH(A515),1)</f>
        <v>46235</v>
      </c>
    </row>
    <row r="516" customFormat="false" ht="15" hidden="false" customHeight="false" outlineLevel="0" collapsed="false">
      <c r="A516" s="34" t="n">
        <v>46244</v>
      </c>
      <c r="B516" s="28" t="s">
        <v>116</v>
      </c>
      <c r="C516" s="35" t="n">
        <v>26374</v>
      </c>
      <c r="D516" s="35" t="n">
        <v>285</v>
      </c>
      <c r="E516" s="35" t="n">
        <v>8</v>
      </c>
      <c r="F516" s="35" t="n">
        <v>5</v>
      </c>
      <c r="G516" s="35" t="n">
        <v>13990</v>
      </c>
      <c r="H516" s="35" t="n">
        <v>6294</v>
      </c>
      <c r="I516" s="28" t="str">
        <f aca="false">INDEX(Campaigns!$C$2:$C$31,MATCH(B516,Campaigns!$A$2:$A$31,0))</f>
        <v>Facebook &amp; Instagram Ads</v>
      </c>
      <c r="J516" s="40" t="n">
        <f aca="false">DATE(YEAR(A516),MONTH(A516),1)</f>
        <v>46235</v>
      </c>
    </row>
    <row r="517" customFormat="false" ht="15" hidden="false" customHeight="false" outlineLevel="0" collapsed="false">
      <c r="A517" s="34" t="n">
        <v>46244</v>
      </c>
      <c r="B517" s="28" t="s">
        <v>118</v>
      </c>
      <c r="C517" s="35" t="n">
        <v>2575</v>
      </c>
      <c r="D517" s="35" t="n">
        <v>146</v>
      </c>
      <c r="E517" s="35" t="n">
        <v>11</v>
      </c>
      <c r="F517" s="35" t="n">
        <v>6</v>
      </c>
      <c r="G517" s="35" t="n">
        <v>25360</v>
      </c>
      <c r="H517" s="35" t="n">
        <v>2267</v>
      </c>
      <c r="I517" s="28" t="str">
        <f aca="false">INDEX(Campaigns!$C$2:$C$31,MATCH(B517,Campaigns!$A$2:$A$31,0))</f>
        <v>Google Search Ads</v>
      </c>
      <c r="J517" s="40" t="n">
        <f aca="false">DATE(YEAR(A517),MONTH(A517),1)</f>
        <v>46235</v>
      </c>
    </row>
    <row r="518" customFormat="false" ht="15" hidden="false" customHeight="false" outlineLevel="0" collapsed="false">
      <c r="A518" s="34" t="n">
        <v>46244</v>
      </c>
      <c r="B518" s="28" t="s">
        <v>122</v>
      </c>
      <c r="C518" s="35" t="n">
        <v>123476</v>
      </c>
      <c r="D518" s="35" t="n">
        <v>987</v>
      </c>
      <c r="E518" s="35" t="n">
        <v>44</v>
      </c>
      <c r="F518" s="35" t="n">
        <v>9</v>
      </c>
      <c r="G518" s="35" t="n">
        <v>22720</v>
      </c>
      <c r="H518" s="35" t="n">
        <v>20541</v>
      </c>
      <c r="I518" s="28" t="str">
        <f aca="false">INDEX(Campaigns!$C$2:$C$31,MATCH(B518,Campaigns!$A$2:$A$31,0))</f>
        <v>TikTok Ads</v>
      </c>
      <c r="J518" s="40" t="n">
        <f aca="false">DATE(YEAR(A518),MONTH(A518),1)</f>
        <v>46235</v>
      </c>
    </row>
    <row r="519" customFormat="false" ht="15" hidden="false" customHeight="false" outlineLevel="0" collapsed="false">
      <c r="A519" s="34" t="n">
        <v>46244</v>
      </c>
      <c r="B519" s="28" t="s">
        <v>124</v>
      </c>
      <c r="C519" s="35" t="n">
        <v>7415</v>
      </c>
      <c r="D519" s="35" t="n">
        <v>179</v>
      </c>
      <c r="E519" s="35" t="n">
        <v>5</v>
      </c>
      <c r="F519" s="35" t="n">
        <v>8</v>
      </c>
      <c r="G519" s="35" t="n">
        <v>24380</v>
      </c>
      <c r="H519" s="35" t="n">
        <v>2504</v>
      </c>
      <c r="I519" s="28" t="str">
        <f aca="false">INDEX(Campaigns!$C$2:$C$31,MATCH(B519,Campaigns!$A$2:$A$31,0))</f>
        <v>Email</v>
      </c>
      <c r="J519" s="40" t="n">
        <f aca="false">DATE(YEAR(A519),MONTH(A519),1)</f>
        <v>46235</v>
      </c>
    </row>
    <row r="520" customFormat="false" ht="15" hidden="false" customHeight="false" outlineLevel="0" collapsed="false">
      <c r="A520" s="34" t="n">
        <v>46244</v>
      </c>
      <c r="B520" s="28" t="s">
        <v>126</v>
      </c>
      <c r="C520" s="35" t="n">
        <v>15928</v>
      </c>
      <c r="D520" s="35" t="n">
        <v>123</v>
      </c>
      <c r="E520" s="35" t="n">
        <v>3</v>
      </c>
      <c r="F520" s="35" t="n">
        <v>0</v>
      </c>
      <c r="G520" s="35" t="n">
        <v>0</v>
      </c>
      <c r="H520" s="35" t="n">
        <v>2977</v>
      </c>
      <c r="I520" s="28" t="str">
        <f aca="false">INDEX(Campaigns!$C$2:$C$31,MATCH(B520,Campaigns!$A$2:$A$31,0))</f>
        <v>TikTok Ads</v>
      </c>
      <c r="J520" s="40" t="n">
        <f aca="false">DATE(YEAR(A520),MONTH(A520),1)</f>
        <v>46235</v>
      </c>
    </row>
    <row r="521" customFormat="false" ht="15" hidden="false" customHeight="false" outlineLevel="0" collapsed="false">
      <c r="A521" s="34" t="n">
        <v>46244</v>
      </c>
      <c r="B521" s="28" t="s">
        <v>130</v>
      </c>
      <c r="C521" s="35" t="n">
        <v>3021</v>
      </c>
      <c r="D521" s="35" t="n">
        <v>257</v>
      </c>
      <c r="E521" s="35" t="n">
        <v>9</v>
      </c>
      <c r="F521" s="35" t="n">
        <v>27</v>
      </c>
      <c r="G521" s="35" t="n">
        <v>73980</v>
      </c>
      <c r="H521" s="35" t="n">
        <v>4530</v>
      </c>
      <c r="I521" s="28" t="str">
        <f aca="false">INDEX(Campaigns!$C$2:$C$31,MATCH(B521,Campaigns!$A$2:$A$31,0))</f>
        <v>WhatsApp Broadcast</v>
      </c>
      <c r="J521" s="40" t="n">
        <f aca="false">DATE(YEAR(A521),MONTH(A521),1)</f>
        <v>46235</v>
      </c>
    </row>
    <row r="522" customFormat="false" ht="15" hidden="false" customHeight="false" outlineLevel="0" collapsed="false">
      <c r="A522" s="34" t="n">
        <v>46244</v>
      </c>
      <c r="B522" s="28" t="s">
        <v>134</v>
      </c>
      <c r="C522" s="35" t="n">
        <v>2685</v>
      </c>
      <c r="D522" s="35" t="n">
        <v>186</v>
      </c>
      <c r="E522" s="35" t="n">
        <v>14</v>
      </c>
      <c r="F522" s="35" t="n">
        <v>14</v>
      </c>
      <c r="G522" s="35" t="n">
        <v>41560</v>
      </c>
      <c r="H522" s="35" t="n">
        <v>3456</v>
      </c>
      <c r="I522" s="28" t="str">
        <f aca="false">INDEX(Campaigns!$C$2:$C$31,MATCH(B522,Campaigns!$A$2:$A$31,0))</f>
        <v>WhatsApp Broadcast</v>
      </c>
      <c r="J522" s="40" t="n">
        <f aca="false">DATE(YEAR(A522),MONTH(A522),1)</f>
        <v>46235</v>
      </c>
    </row>
    <row r="523" customFormat="false" ht="15" hidden="false" customHeight="false" outlineLevel="0" collapsed="false">
      <c r="A523" s="34" t="n">
        <v>46244</v>
      </c>
      <c r="B523" s="28" t="s">
        <v>136</v>
      </c>
      <c r="C523" s="35" t="n">
        <v>12082</v>
      </c>
      <c r="D523" s="35" t="n">
        <v>323</v>
      </c>
      <c r="E523" s="35" t="n">
        <v>10</v>
      </c>
      <c r="F523" s="35" t="n">
        <v>9</v>
      </c>
      <c r="G523" s="35" t="n">
        <v>24600</v>
      </c>
      <c r="H523" s="35" t="n">
        <v>4661</v>
      </c>
      <c r="I523" s="28" t="str">
        <f aca="false">INDEX(Campaigns!$C$2:$C$31,MATCH(B523,Campaigns!$A$2:$A$31,0))</f>
        <v>Email</v>
      </c>
      <c r="J523" s="40" t="n">
        <f aca="false">DATE(YEAR(A523),MONTH(A523),1)</f>
        <v>46235</v>
      </c>
    </row>
    <row r="524" customFormat="false" ht="15" hidden="false" customHeight="false" outlineLevel="0" collapsed="false">
      <c r="A524" s="34" t="n">
        <v>46244</v>
      </c>
      <c r="B524" s="28" t="s">
        <v>139</v>
      </c>
      <c r="C524" s="35" t="n">
        <v>15757</v>
      </c>
      <c r="D524" s="35" t="n">
        <v>153</v>
      </c>
      <c r="E524" s="35" t="n">
        <v>9</v>
      </c>
      <c r="F524" s="35" t="n">
        <v>0</v>
      </c>
      <c r="G524" s="35" t="n">
        <v>0</v>
      </c>
      <c r="H524" s="35" t="n">
        <v>2720</v>
      </c>
      <c r="I524" s="28" t="str">
        <f aca="false">INDEX(Campaigns!$C$2:$C$31,MATCH(B524,Campaigns!$A$2:$A$31,0))</f>
        <v>TikTok Ads</v>
      </c>
      <c r="J524" s="40" t="n">
        <f aca="false">DATE(YEAR(A524),MONTH(A524),1)</f>
        <v>46235</v>
      </c>
    </row>
    <row r="525" customFormat="false" ht="15" hidden="false" customHeight="false" outlineLevel="0" collapsed="false">
      <c r="A525" s="34" t="n">
        <v>46244</v>
      </c>
      <c r="B525" s="28" t="s">
        <v>145</v>
      </c>
      <c r="C525" s="35" t="n">
        <v>7536</v>
      </c>
      <c r="D525" s="35" t="n">
        <v>377</v>
      </c>
      <c r="E525" s="35" t="n">
        <v>16</v>
      </c>
      <c r="F525" s="35" t="n">
        <v>18</v>
      </c>
      <c r="G525" s="35" t="n">
        <v>66290</v>
      </c>
      <c r="H525" s="35" t="n">
        <v>6667</v>
      </c>
      <c r="I525" s="28" t="str">
        <f aca="false">INDEX(Campaigns!$C$2:$C$31,MATCH(B525,Campaigns!$A$2:$A$31,0))</f>
        <v>Google Search Ads</v>
      </c>
      <c r="J525" s="40" t="n">
        <f aca="false">DATE(YEAR(A525),MONTH(A525),1)</f>
        <v>46235</v>
      </c>
    </row>
    <row r="526" customFormat="false" ht="15" hidden="false" customHeight="false" outlineLevel="0" collapsed="false">
      <c r="A526" s="34" t="n">
        <v>46244</v>
      </c>
      <c r="B526" s="28" t="s">
        <v>147</v>
      </c>
      <c r="C526" s="35" t="n">
        <v>25542</v>
      </c>
      <c r="D526" s="35" t="n">
        <v>346</v>
      </c>
      <c r="E526" s="35" t="n">
        <v>6</v>
      </c>
      <c r="F526" s="35" t="n">
        <v>1</v>
      </c>
      <c r="G526" s="35" t="n">
        <v>4470</v>
      </c>
      <c r="H526" s="35" t="n">
        <v>6564</v>
      </c>
      <c r="I526" s="28" t="str">
        <f aca="false">INDEX(Campaigns!$C$2:$C$31,MATCH(B526,Campaigns!$A$2:$A$31,0))</f>
        <v>Facebook &amp; Instagram Ads</v>
      </c>
      <c r="J526" s="40" t="n">
        <f aca="false">DATE(YEAR(A526),MONTH(A526),1)</f>
        <v>46235</v>
      </c>
    </row>
    <row r="527" customFormat="false" ht="15" hidden="false" customHeight="false" outlineLevel="0" collapsed="false">
      <c r="A527" s="34" t="n">
        <v>46244</v>
      </c>
      <c r="B527" s="28" t="s">
        <v>152</v>
      </c>
      <c r="C527" s="35" t="n">
        <v>6999</v>
      </c>
      <c r="D527" s="35" t="n">
        <v>66</v>
      </c>
      <c r="E527" s="35" t="n">
        <v>1</v>
      </c>
      <c r="F527" s="35" t="n">
        <v>1</v>
      </c>
      <c r="G527" s="35" t="n">
        <v>2760</v>
      </c>
      <c r="H527" s="35" t="n">
        <v>4561</v>
      </c>
      <c r="I527" s="28" t="str">
        <f aca="false">INDEX(Campaigns!$C$2:$C$31,MATCH(B527,Campaigns!$A$2:$A$31,0))</f>
        <v>Influencer Partnerships</v>
      </c>
      <c r="J527" s="40" t="n">
        <f aca="false">DATE(YEAR(A527),MONTH(A527),1)</f>
        <v>46235</v>
      </c>
    </row>
    <row r="528" customFormat="false" ht="15" hidden="false" customHeight="false" outlineLevel="0" collapsed="false">
      <c r="A528" s="34" t="n">
        <v>46244</v>
      </c>
      <c r="B528" s="28" t="s">
        <v>154</v>
      </c>
      <c r="C528" s="35" t="n">
        <v>7265</v>
      </c>
      <c r="D528" s="35" t="n">
        <v>52</v>
      </c>
      <c r="E528" s="35" t="n">
        <v>2</v>
      </c>
      <c r="F528" s="35" t="n">
        <v>0</v>
      </c>
      <c r="G528" s="35" t="n">
        <v>0</v>
      </c>
      <c r="H528" s="35" t="n">
        <v>4159</v>
      </c>
      <c r="I528" s="28" t="str">
        <f aca="false">INDEX(Campaigns!$C$2:$C$31,MATCH(B528,Campaigns!$A$2:$A$31,0))</f>
        <v>Influencer Partnerships</v>
      </c>
      <c r="J528" s="40" t="n">
        <f aca="false">DATE(YEAR(A528),MONTH(A528),1)</f>
        <v>46235</v>
      </c>
    </row>
    <row r="529" customFormat="false" ht="15" hidden="false" customHeight="false" outlineLevel="0" collapsed="false">
      <c r="A529" s="34" t="n">
        <v>46244</v>
      </c>
      <c r="B529" s="28" t="s">
        <v>156</v>
      </c>
      <c r="C529" s="35" t="n">
        <v>48575</v>
      </c>
      <c r="D529" s="35" t="n">
        <v>451</v>
      </c>
      <c r="E529" s="35" t="n">
        <v>57</v>
      </c>
      <c r="F529" s="35" t="n">
        <v>5</v>
      </c>
      <c r="G529" s="35" t="n">
        <v>13850</v>
      </c>
      <c r="H529" s="35" t="n">
        <v>8275</v>
      </c>
      <c r="I529" s="28" t="str">
        <f aca="false">INDEX(Campaigns!$C$2:$C$31,MATCH(B529,Campaigns!$A$2:$A$31,0))</f>
        <v>TikTok Ads</v>
      </c>
      <c r="J529" s="40" t="n">
        <f aca="false">DATE(YEAR(A529),MONTH(A529),1)</f>
        <v>46235</v>
      </c>
    </row>
    <row r="530" customFormat="false" ht="15" hidden="false" customHeight="false" outlineLevel="0" collapsed="false">
      <c r="A530" s="34" t="n">
        <v>46244</v>
      </c>
      <c r="B530" s="28" t="s">
        <v>158</v>
      </c>
      <c r="C530" s="35" t="n">
        <v>19409</v>
      </c>
      <c r="D530" s="35" t="n">
        <v>175</v>
      </c>
      <c r="E530" s="35" t="n">
        <v>19</v>
      </c>
      <c r="F530" s="35" t="n">
        <v>8</v>
      </c>
      <c r="G530" s="35" t="n">
        <v>26850</v>
      </c>
      <c r="H530" s="35" t="n">
        <v>10677</v>
      </c>
      <c r="I530" s="28" t="str">
        <f aca="false">INDEX(Campaigns!$C$2:$C$31,MATCH(B530,Campaigns!$A$2:$A$31,0))</f>
        <v>Influencer Partnerships</v>
      </c>
      <c r="J530" s="40" t="n">
        <f aca="false">DATE(YEAR(A530),MONTH(A530),1)</f>
        <v>46235</v>
      </c>
    </row>
    <row r="531" customFormat="false" ht="15" hidden="false" customHeight="false" outlineLevel="0" collapsed="false">
      <c r="A531" s="34" t="n">
        <v>46244</v>
      </c>
      <c r="B531" s="28" t="s">
        <v>159</v>
      </c>
      <c r="C531" s="35" t="n">
        <v>25767</v>
      </c>
      <c r="D531" s="35" t="n">
        <v>370</v>
      </c>
      <c r="E531" s="35" t="n">
        <v>59</v>
      </c>
      <c r="F531" s="35" t="n">
        <v>4</v>
      </c>
      <c r="G531" s="35" t="n">
        <v>12480</v>
      </c>
      <c r="H531" s="35" t="n">
        <v>6786</v>
      </c>
      <c r="I531" s="28" t="str">
        <f aca="false">INDEX(Campaigns!$C$2:$C$31,MATCH(B531,Campaigns!$A$2:$A$31,0))</f>
        <v>Facebook &amp; Instagram Ads</v>
      </c>
      <c r="J531" s="40" t="n">
        <f aca="false">DATE(YEAR(A531),MONTH(A531),1)</f>
        <v>46235</v>
      </c>
    </row>
    <row r="532" customFormat="false" ht="15" hidden="false" customHeight="false" outlineLevel="0" collapsed="false">
      <c r="A532" s="34" t="n">
        <v>46244</v>
      </c>
      <c r="B532" s="28" t="s">
        <v>161</v>
      </c>
      <c r="C532" s="35" t="n">
        <v>42801</v>
      </c>
      <c r="D532" s="35" t="n">
        <v>574</v>
      </c>
      <c r="E532" s="35" t="n">
        <v>7</v>
      </c>
      <c r="F532" s="35" t="n">
        <v>0</v>
      </c>
      <c r="G532" s="35" t="n">
        <v>0</v>
      </c>
      <c r="H532" s="35" t="n">
        <v>10451</v>
      </c>
      <c r="I532" s="28" t="str">
        <f aca="false">INDEX(Campaigns!$C$2:$C$31,MATCH(B532,Campaigns!$A$2:$A$31,0))</f>
        <v>Facebook &amp; Instagram Ads</v>
      </c>
      <c r="J532" s="40" t="n">
        <f aca="false">DATE(YEAR(A532),MONTH(A532),1)</f>
        <v>46235</v>
      </c>
    </row>
    <row r="533" customFormat="false" ht="15" hidden="false" customHeight="false" outlineLevel="0" collapsed="false">
      <c r="A533" s="34" t="n">
        <v>46244</v>
      </c>
      <c r="B533" s="28" t="s">
        <v>163</v>
      </c>
      <c r="C533" s="35" t="n">
        <v>1468</v>
      </c>
      <c r="D533" s="35" t="n">
        <v>43</v>
      </c>
      <c r="E533" s="35" t="n">
        <v>1</v>
      </c>
      <c r="F533" s="35" t="n">
        <v>4</v>
      </c>
      <c r="G533" s="35" t="n">
        <v>12620</v>
      </c>
      <c r="H533" s="35" t="n">
        <v>508</v>
      </c>
      <c r="I533" s="28" t="str">
        <f aca="false">INDEX(Campaigns!$C$2:$C$31,MATCH(B533,Campaigns!$A$2:$A$31,0))</f>
        <v>Email</v>
      </c>
      <c r="J533" s="40" t="n">
        <f aca="false">DATE(YEAR(A533),MONTH(A533),1)</f>
        <v>46235</v>
      </c>
    </row>
    <row r="534" customFormat="false" ht="15" hidden="false" customHeight="false" outlineLevel="0" collapsed="false">
      <c r="A534" s="34" t="n">
        <v>46245</v>
      </c>
      <c r="B534" s="28" t="s">
        <v>105</v>
      </c>
      <c r="C534" s="35" t="n">
        <v>5583</v>
      </c>
      <c r="D534" s="35" t="n">
        <v>208</v>
      </c>
      <c r="E534" s="35" t="n">
        <v>3</v>
      </c>
      <c r="F534" s="35" t="n">
        <v>5</v>
      </c>
      <c r="G534" s="35" t="n">
        <v>16850</v>
      </c>
      <c r="H534" s="35" t="n">
        <v>5292</v>
      </c>
      <c r="I534" s="28" t="str">
        <f aca="false">INDEX(Campaigns!$C$2:$C$31,MATCH(B534,Campaigns!$A$2:$A$31,0))</f>
        <v>Google Search Ads</v>
      </c>
      <c r="J534" s="40" t="n">
        <f aca="false">DATE(YEAR(A534),MONTH(A534),1)</f>
        <v>46235</v>
      </c>
    </row>
    <row r="535" customFormat="false" ht="15" hidden="false" customHeight="false" outlineLevel="0" collapsed="false">
      <c r="A535" s="34" t="n">
        <v>46245</v>
      </c>
      <c r="B535" s="28" t="s">
        <v>108</v>
      </c>
      <c r="C535" s="35" t="n">
        <v>6817</v>
      </c>
      <c r="D535" s="35" t="n">
        <v>215</v>
      </c>
      <c r="E535" s="35" t="n">
        <v>3</v>
      </c>
      <c r="F535" s="35" t="n">
        <v>8</v>
      </c>
      <c r="G535" s="35" t="n">
        <v>24160</v>
      </c>
      <c r="H535" s="35" t="n">
        <v>2503</v>
      </c>
      <c r="I535" s="28" t="str">
        <f aca="false">INDEX(Campaigns!$C$2:$C$31,MATCH(B535,Campaigns!$A$2:$A$31,0))</f>
        <v>Email</v>
      </c>
      <c r="J535" s="40" t="n">
        <f aca="false">DATE(YEAR(A535),MONTH(A535),1)</f>
        <v>46235</v>
      </c>
    </row>
    <row r="536" customFormat="false" ht="15" hidden="false" customHeight="false" outlineLevel="0" collapsed="false">
      <c r="A536" s="34" t="n">
        <v>46245</v>
      </c>
      <c r="B536" s="28" t="s">
        <v>114</v>
      </c>
      <c r="C536" s="35" t="n">
        <v>893</v>
      </c>
      <c r="D536" s="35" t="n">
        <v>43</v>
      </c>
      <c r="E536" s="35" t="n">
        <v>2</v>
      </c>
      <c r="F536" s="35" t="n">
        <v>3</v>
      </c>
      <c r="G536" s="35" t="n">
        <v>9740</v>
      </c>
      <c r="H536" s="35" t="n">
        <v>1158</v>
      </c>
      <c r="I536" s="28" t="str">
        <f aca="false">INDEX(Campaigns!$C$2:$C$31,MATCH(B536,Campaigns!$A$2:$A$31,0))</f>
        <v>WhatsApp Broadcast</v>
      </c>
      <c r="J536" s="40" t="n">
        <f aca="false">DATE(YEAR(A536),MONTH(A536),1)</f>
        <v>46235</v>
      </c>
    </row>
    <row r="537" customFormat="false" ht="15" hidden="false" customHeight="false" outlineLevel="0" collapsed="false">
      <c r="A537" s="34" t="n">
        <v>46245</v>
      </c>
      <c r="B537" s="28" t="s">
        <v>116</v>
      </c>
      <c r="C537" s="35" t="n">
        <v>20664</v>
      </c>
      <c r="D537" s="35" t="n">
        <v>253</v>
      </c>
      <c r="E537" s="35" t="n">
        <v>6</v>
      </c>
      <c r="F537" s="35" t="n">
        <v>3</v>
      </c>
      <c r="G537" s="35" t="n">
        <v>7490</v>
      </c>
      <c r="H537" s="35" t="n">
        <v>5228</v>
      </c>
      <c r="I537" s="28" t="str">
        <f aca="false">INDEX(Campaigns!$C$2:$C$31,MATCH(B537,Campaigns!$A$2:$A$31,0))</f>
        <v>Facebook &amp; Instagram Ads</v>
      </c>
      <c r="J537" s="40" t="n">
        <f aca="false">DATE(YEAR(A537),MONTH(A537),1)</f>
        <v>46235</v>
      </c>
    </row>
    <row r="538" customFormat="false" ht="15" hidden="false" customHeight="false" outlineLevel="0" collapsed="false">
      <c r="A538" s="34" t="n">
        <v>46245</v>
      </c>
      <c r="B538" s="28" t="s">
        <v>118</v>
      </c>
      <c r="C538" s="35" t="n">
        <v>2716</v>
      </c>
      <c r="D538" s="35" t="n">
        <v>139</v>
      </c>
      <c r="E538" s="35" t="n">
        <v>8</v>
      </c>
      <c r="F538" s="35" t="n">
        <v>10</v>
      </c>
      <c r="G538" s="35" t="n">
        <v>37060</v>
      </c>
      <c r="H538" s="35" t="n">
        <v>2371</v>
      </c>
      <c r="I538" s="28" t="str">
        <f aca="false">INDEX(Campaigns!$C$2:$C$31,MATCH(B538,Campaigns!$A$2:$A$31,0))</f>
        <v>Google Search Ads</v>
      </c>
      <c r="J538" s="40" t="n">
        <f aca="false">DATE(YEAR(A538),MONTH(A538),1)</f>
        <v>46235</v>
      </c>
    </row>
    <row r="539" customFormat="false" ht="15" hidden="false" customHeight="false" outlineLevel="0" collapsed="false">
      <c r="A539" s="34" t="n">
        <v>46245</v>
      </c>
      <c r="B539" s="28" t="s">
        <v>124</v>
      </c>
      <c r="C539" s="35" t="n">
        <v>6624</v>
      </c>
      <c r="D539" s="35" t="n">
        <v>157</v>
      </c>
      <c r="E539" s="35" t="n">
        <v>4</v>
      </c>
      <c r="F539" s="35" t="n">
        <v>4</v>
      </c>
      <c r="G539" s="35" t="n">
        <v>10930</v>
      </c>
      <c r="H539" s="35" t="n">
        <v>2365</v>
      </c>
      <c r="I539" s="28" t="str">
        <f aca="false">INDEX(Campaigns!$C$2:$C$31,MATCH(B539,Campaigns!$A$2:$A$31,0))</f>
        <v>Email</v>
      </c>
      <c r="J539" s="40" t="n">
        <f aca="false">DATE(YEAR(A539),MONTH(A539),1)</f>
        <v>46235</v>
      </c>
    </row>
    <row r="540" customFormat="false" ht="15" hidden="false" customHeight="false" outlineLevel="0" collapsed="false">
      <c r="A540" s="34" t="n">
        <v>46245</v>
      </c>
      <c r="B540" s="28" t="s">
        <v>126</v>
      </c>
      <c r="C540" s="35" t="n">
        <v>14594</v>
      </c>
      <c r="D540" s="35" t="n">
        <v>107</v>
      </c>
      <c r="E540" s="35" t="n">
        <v>3</v>
      </c>
      <c r="F540" s="35" t="n">
        <v>0</v>
      </c>
      <c r="G540" s="35" t="n">
        <v>0</v>
      </c>
      <c r="H540" s="35" t="n">
        <v>2586</v>
      </c>
      <c r="I540" s="28" t="str">
        <f aca="false">INDEX(Campaigns!$C$2:$C$31,MATCH(B540,Campaigns!$A$2:$A$31,0))</f>
        <v>TikTok Ads</v>
      </c>
      <c r="J540" s="40" t="n">
        <f aca="false">DATE(YEAR(A540),MONTH(A540),1)</f>
        <v>46235</v>
      </c>
    </row>
    <row r="541" customFormat="false" ht="15" hidden="false" customHeight="false" outlineLevel="0" collapsed="false">
      <c r="A541" s="34" t="n">
        <v>46245</v>
      </c>
      <c r="B541" s="28" t="s">
        <v>130</v>
      </c>
      <c r="C541" s="35" t="n">
        <v>2897</v>
      </c>
      <c r="D541" s="35" t="n">
        <v>230</v>
      </c>
      <c r="E541" s="35" t="n">
        <v>3</v>
      </c>
      <c r="F541" s="35" t="n">
        <v>29</v>
      </c>
      <c r="G541" s="35" t="n">
        <v>84120</v>
      </c>
      <c r="H541" s="35" t="n">
        <v>4455</v>
      </c>
      <c r="I541" s="28" t="str">
        <f aca="false">INDEX(Campaigns!$C$2:$C$31,MATCH(B541,Campaigns!$A$2:$A$31,0))</f>
        <v>WhatsApp Broadcast</v>
      </c>
      <c r="J541" s="40" t="n">
        <f aca="false">DATE(YEAR(A541),MONTH(A541),1)</f>
        <v>46235</v>
      </c>
    </row>
    <row r="542" customFormat="false" ht="15" hidden="false" customHeight="false" outlineLevel="0" collapsed="false">
      <c r="A542" s="34" t="n">
        <v>46245</v>
      </c>
      <c r="B542" s="28" t="s">
        <v>134</v>
      </c>
      <c r="C542" s="35" t="n">
        <v>2237</v>
      </c>
      <c r="D542" s="35" t="n">
        <v>151</v>
      </c>
      <c r="E542" s="35" t="n">
        <v>6</v>
      </c>
      <c r="F542" s="35" t="n">
        <v>4</v>
      </c>
      <c r="G542" s="35" t="n">
        <v>9810</v>
      </c>
      <c r="H542" s="35" t="n">
        <v>2883</v>
      </c>
      <c r="I542" s="28" t="str">
        <f aca="false">INDEX(Campaigns!$C$2:$C$31,MATCH(B542,Campaigns!$A$2:$A$31,0))</f>
        <v>WhatsApp Broadcast</v>
      </c>
      <c r="J542" s="40" t="n">
        <f aca="false">DATE(YEAR(A542),MONTH(A542),1)</f>
        <v>46235</v>
      </c>
    </row>
    <row r="543" customFormat="false" ht="15" hidden="false" customHeight="false" outlineLevel="0" collapsed="false">
      <c r="A543" s="34" t="n">
        <v>46245</v>
      </c>
      <c r="B543" s="28" t="s">
        <v>136</v>
      </c>
      <c r="C543" s="35" t="n">
        <v>9883</v>
      </c>
      <c r="D543" s="35" t="n">
        <v>289</v>
      </c>
      <c r="E543" s="35" t="n">
        <v>8</v>
      </c>
      <c r="F543" s="35" t="n">
        <v>13</v>
      </c>
      <c r="G543" s="35" t="n">
        <v>40020</v>
      </c>
      <c r="H543" s="35" t="n">
        <v>3741</v>
      </c>
      <c r="I543" s="28" t="str">
        <f aca="false">INDEX(Campaigns!$C$2:$C$31,MATCH(B543,Campaigns!$A$2:$A$31,0))</f>
        <v>Email</v>
      </c>
      <c r="J543" s="40" t="n">
        <f aca="false">DATE(YEAR(A543),MONTH(A543),1)</f>
        <v>46235</v>
      </c>
    </row>
    <row r="544" customFormat="false" ht="15" hidden="false" customHeight="false" outlineLevel="0" collapsed="false">
      <c r="A544" s="34" t="n">
        <v>46245</v>
      </c>
      <c r="B544" s="28" t="s">
        <v>139</v>
      </c>
      <c r="C544" s="35" t="n">
        <v>15357</v>
      </c>
      <c r="D544" s="35" t="n">
        <v>135</v>
      </c>
      <c r="E544" s="35" t="n">
        <v>12</v>
      </c>
      <c r="F544" s="35" t="n">
        <v>1</v>
      </c>
      <c r="G544" s="35" t="n">
        <v>4040</v>
      </c>
      <c r="H544" s="35" t="n">
        <v>3044</v>
      </c>
      <c r="I544" s="28" t="str">
        <f aca="false">INDEX(Campaigns!$C$2:$C$31,MATCH(B544,Campaigns!$A$2:$A$31,0))</f>
        <v>TikTok Ads</v>
      </c>
      <c r="J544" s="40" t="n">
        <f aca="false">DATE(YEAR(A544),MONTH(A544),1)</f>
        <v>46235</v>
      </c>
    </row>
    <row r="545" customFormat="false" ht="15" hidden="false" customHeight="false" outlineLevel="0" collapsed="false">
      <c r="A545" s="34" t="n">
        <v>46245</v>
      </c>
      <c r="B545" s="28" t="s">
        <v>141</v>
      </c>
      <c r="C545" s="35" t="n">
        <v>7794</v>
      </c>
      <c r="D545" s="35" t="n">
        <v>243</v>
      </c>
      <c r="E545" s="35" t="n">
        <v>4</v>
      </c>
      <c r="F545" s="35" t="n">
        <v>9</v>
      </c>
      <c r="G545" s="35" t="n">
        <v>26350</v>
      </c>
      <c r="H545" s="35" t="n">
        <v>2525</v>
      </c>
      <c r="I545" s="28" t="str">
        <f aca="false">INDEX(Campaigns!$C$2:$C$31,MATCH(B545,Campaigns!$A$2:$A$31,0))</f>
        <v>Email</v>
      </c>
      <c r="J545" s="40" t="n">
        <f aca="false">DATE(YEAR(A545),MONTH(A545),1)</f>
        <v>46235</v>
      </c>
    </row>
    <row r="546" customFormat="false" ht="15" hidden="false" customHeight="false" outlineLevel="0" collapsed="false">
      <c r="A546" s="34" t="n">
        <v>46245</v>
      </c>
      <c r="B546" s="28" t="s">
        <v>145</v>
      </c>
      <c r="C546" s="35" t="n">
        <v>6803</v>
      </c>
      <c r="D546" s="35" t="n">
        <v>342</v>
      </c>
      <c r="E546" s="35" t="n">
        <v>15</v>
      </c>
      <c r="F546" s="35" t="n">
        <v>15</v>
      </c>
      <c r="G546" s="35" t="n">
        <v>53030</v>
      </c>
      <c r="H546" s="35" t="n">
        <v>6730</v>
      </c>
      <c r="I546" s="28" t="str">
        <f aca="false">INDEX(Campaigns!$C$2:$C$31,MATCH(B546,Campaigns!$A$2:$A$31,0))</f>
        <v>Google Search Ads</v>
      </c>
      <c r="J546" s="40" t="n">
        <f aca="false">DATE(YEAR(A546),MONTH(A546),1)</f>
        <v>46235</v>
      </c>
    </row>
    <row r="547" customFormat="false" ht="15" hidden="false" customHeight="false" outlineLevel="0" collapsed="false">
      <c r="A547" s="34" t="n">
        <v>46245</v>
      </c>
      <c r="B547" s="28" t="s">
        <v>147</v>
      </c>
      <c r="C547" s="35" t="n">
        <v>20974</v>
      </c>
      <c r="D547" s="35" t="n">
        <v>273</v>
      </c>
      <c r="E547" s="35" t="n">
        <v>6</v>
      </c>
      <c r="F547" s="35" t="n">
        <v>1</v>
      </c>
      <c r="G547" s="35" t="n">
        <v>2710</v>
      </c>
      <c r="H547" s="35" t="n">
        <v>5306</v>
      </c>
      <c r="I547" s="28" t="str">
        <f aca="false">INDEX(Campaigns!$C$2:$C$31,MATCH(B547,Campaigns!$A$2:$A$31,0))</f>
        <v>Facebook &amp; Instagram Ads</v>
      </c>
      <c r="J547" s="40" t="n">
        <f aca="false">DATE(YEAR(A547),MONTH(A547),1)</f>
        <v>46235</v>
      </c>
    </row>
    <row r="548" customFormat="false" ht="15" hidden="false" customHeight="false" outlineLevel="0" collapsed="false">
      <c r="A548" s="34" t="n">
        <v>46245</v>
      </c>
      <c r="B548" s="28" t="s">
        <v>152</v>
      </c>
      <c r="C548" s="35" t="n">
        <v>7916</v>
      </c>
      <c r="D548" s="35" t="n">
        <v>70</v>
      </c>
      <c r="E548" s="35" t="n">
        <v>1</v>
      </c>
      <c r="F548" s="35" t="n">
        <v>0</v>
      </c>
      <c r="G548" s="35" t="n">
        <v>0</v>
      </c>
      <c r="H548" s="35" t="n">
        <v>4384</v>
      </c>
      <c r="I548" s="28" t="str">
        <f aca="false">INDEX(Campaigns!$C$2:$C$31,MATCH(B548,Campaigns!$A$2:$A$31,0))</f>
        <v>Influencer Partnerships</v>
      </c>
      <c r="J548" s="40" t="n">
        <f aca="false">DATE(YEAR(A548),MONTH(A548),1)</f>
        <v>46235</v>
      </c>
    </row>
    <row r="549" customFormat="false" ht="15" hidden="false" customHeight="false" outlineLevel="0" collapsed="false">
      <c r="A549" s="34" t="n">
        <v>46245</v>
      </c>
      <c r="B549" s="28" t="s">
        <v>154</v>
      </c>
      <c r="C549" s="35" t="n">
        <v>5978</v>
      </c>
      <c r="D549" s="35" t="n">
        <v>54</v>
      </c>
      <c r="E549" s="35" t="n">
        <v>3</v>
      </c>
      <c r="F549" s="35" t="n">
        <v>2</v>
      </c>
      <c r="G549" s="35" t="n">
        <v>5450</v>
      </c>
      <c r="H549" s="35" t="n">
        <v>3679</v>
      </c>
      <c r="I549" s="28" t="str">
        <f aca="false">INDEX(Campaigns!$C$2:$C$31,MATCH(B549,Campaigns!$A$2:$A$31,0))</f>
        <v>Influencer Partnerships</v>
      </c>
      <c r="J549" s="40" t="n">
        <f aca="false">DATE(YEAR(A549),MONTH(A549),1)</f>
        <v>46235</v>
      </c>
    </row>
    <row r="550" customFormat="false" ht="15" hidden="false" customHeight="false" outlineLevel="0" collapsed="false">
      <c r="A550" s="34" t="n">
        <v>46245</v>
      </c>
      <c r="B550" s="28" t="s">
        <v>156</v>
      </c>
      <c r="C550" s="35" t="n">
        <v>43556</v>
      </c>
      <c r="D550" s="35" t="n">
        <v>445</v>
      </c>
      <c r="E550" s="35" t="n">
        <v>63</v>
      </c>
      <c r="F550" s="35" t="n">
        <v>6</v>
      </c>
      <c r="G550" s="35" t="n">
        <v>16510</v>
      </c>
      <c r="H550" s="35" t="n">
        <v>7607</v>
      </c>
      <c r="I550" s="28" t="str">
        <f aca="false">INDEX(Campaigns!$C$2:$C$31,MATCH(B550,Campaigns!$A$2:$A$31,0))</f>
        <v>TikTok Ads</v>
      </c>
      <c r="J550" s="40" t="n">
        <f aca="false">DATE(YEAR(A550),MONTH(A550),1)</f>
        <v>46235</v>
      </c>
    </row>
    <row r="551" customFormat="false" ht="15" hidden="false" customHeight="false" outlineLevel="0" collapsed="false">
      <c r="A551" s="34" t="n">
        <v>46245</v>
      </c>
      <c r="B551" s="28" t="s">
        <v>158</v>
      </c>
      <c r="C551" s="35" t="n">
        <v>17939</v>
      </c>
      <c r="D551" s="35" t="n">
        <v>151</v>
      </c>
      <c r="E551" s="35" t="n">
        <v>21</v>
      </c>
      <c r="F551" s="35" t="n">
        <v>0</v>
      </c>
      <c r="G551" s="35" t="n">
        <v>0</v>
      </c>
      <c r="H551" s="35" t="n">
        <v>10858</v>
      </c>
      <c r="I551" s="28" t="str">
        <f aca="false">INDEX(Campaigns!$C$2:$C$31,MATCH(B551,Campaigns!$A$2:$A$31,0))</f>
        <v>Influencer Partnerships</v>
      </c>
      <c r="J551" s="40" t="n">
        <f aca="false">DATE(YEAR(A551),MONTH(A551),1)</f>
        <v>46235</v>
      </c>
    </row>
    <row r="552" customFormat="false" ht="15" hidden="false" customHeight="false" outlineLevel="0" collapsed="false">
      <c r="A552" s="34" t="n">
        <v>46245</v>
      </c>
      <c r="B552" s="28" t="s">
        <v>159</v>
      </c>
      <c r="C552" s="35" t="n">
        <v>20713</v>
      </c>
      <c r="D552" s="35" t="n">
        <v>306</v>
      </c>
      <c r="E552" s="35" t="n">
        <v>49</v>
      </c>
      <c r="F552" s="35" t="n">
        <v>7</v>
      </c>
      <c r="G552" s="35" t="n">
        <v>26730</v>
      </c>
      <c r="H552" s="35" t="n">
        <v>5539</v>
      </c>
      <c r="I552" s="28" t="str">
        <f aca="false">INDEX(Campaigns!$C$2:$C$31,MATCH(B552,Campaigns!$A$2:$A$31,0))</f>
        <v>Facebook &amp; Instagram Ads</v>
      </c>
      <c r="J552" s="40" t="n">
        <f aca="false">DATE(YEAR(A552),MONTH(A552),1)</f>
        <v>46235</v>
      </c>
    </row>
    <row r="553" customFormat="false" ht="15" hidden="false" customHeight="false" outlineLevel="0" collapsed="false">
      <c r="A553" s="34" t="n">
        <v>46245</v>
      </c>
      <c r="B553" s="28" t="s">
        <v>161</v>
      </c>
      <c r="C553" s="35" t="n">
        <v>40199</v>
      </c>
      <c r="D553" s="35" t="n">
        <v>545</v>
      </c>
      <c r="E553" s="35" t="n">
        <v>6</v>
      </c>
      <c r="F553" s="35" t="n">
        <v>3</v>
      </c>
      <c r="G553" s="35" t="n">
        <v>9350</v>
      </c>
      <c r="H553" s="35" t="n">
        <v>10778</v>
      </c>
      <c r="I553" s="28" t="str">
        <f aca="false">INDEX(Campaigns!$C$2:$C$31,MATCH(B553,Campaigns!$A$2:$A$31,0))</f>
        <v>Facebook &amp; Instagram Ads</v>
      </c>
      <c r="J553" s="40" t="n">
        <f aca="false">DATE(YEAR(A553),MONTH(A553),1)</f>
        <v>46235</v>
      </c>
    </row>
    <row r="554" customFormat="false" ht="15" hidden="false" customHeight="false" outlineLevel="0" collapsed="false">
      <c r="A554" s="34" t="n">
        <v>46245</v>
      </c>
      <c r="B554" s="28" t="s">
        <v>163</v>
      </c>
      <c r="C554" s="35" t="n">
        <v>1535</v>
      </c>
      <c r="D554" s="35" t="n">
        <v>74</v>
      </c>
      <c r="E554" s="35" t="n">
        <v>2</v>
      </c>
      <c r="F554" s="35" t="n">
        <v>2</v>
      </c>
      <c r="G554" s="35" t="n">
        <v>5960</v>
      </c>
      <c r="H554" s="35" t="n">
        <v>581</v>
      </c>
      <c r="I554" s="28" t="str">
        <f aca="false">INDEX(Campaigns!$C$2:$C$31,MATCH(B554,Campaigns!$A$2:$A$31,0))</f>
        <v>Email</v>
      </c>
      <c r="J554" s="40" t="n">
        <f aca="false">DATE(YEAR(A554),MONTH(A554),1)</f>
        <v>46235</v>
      </c>
    </row>
    <row r="555" customFormat="false" ht="15" hidden="false" customHeight="false" outlineLevel="0" collapsed="false">
      <c r="A555" s="34" t="n">
        <v>46246</v>
      </c>
      <c r="B555" s="28" t="s">
        <v>105</v>
      </c>
      <c r="C555" s="35" t="n">
        <v>5765</v>
      </c>
      <c r="D555" s="35" t="n">
        <v>208</v>
      </c>
      <c r="E555" s="35" t="n">
        <v>9</v>
      </c>
      <c r="F555" s="35" t="n">
        <v>6</v>
      </c>
      <c r="G555" s="35" t="n">
        <v>22010</v>
      </c>
      <c r="H555" s="35" t="n">
        <v>5503</v>
      </c>
      <c r="I555" s="28" t="str">
        <f aca="false">INDEX(Campaigns!$C$2:$C$31,MATCH(B555,Campaigns!$A$2:$A$31,0))</f>
        <v>Google Search Ads</v>
      </c>
      <c r="J555" s="40" t="n">
        <f aca="false">DATE(YEAR(A555),MONTH(A555),1)</f>
        <v>46235</v>
      </c>
    </row>
    <row r="556" customFormat="false" ht="15" hidden="false" customHeight="false" outlineLevel="0" collapsed="false">
      <c r="A556" s="34" t="n">
        <v>46246</v>
      </c>
      <c r="B556" s="28" t="s">
        <v>108</v>
      </c>
      <c r="C556" s="35" t="n">
        <v>7506</v>
      </c>
      <c r="D556" s="35" t="n">
        <v>221</v>
      </c>
      <c r="E556" s="35" t="n">
        <v>6</v>
      </c>
      <c r="F556" s="35" t="n">
        <v>14</v>
      </c>
      <c r="G556" s="35" t="n">
        <v>41160</v>
      </c>
      <c r="H556" s="35" t="n">
        <v>2667</v>
      </c>
      <c r="I556" s="28" t="str">
        <f aca="false">INDEX(Campaigns!$C$2:$C$31,MATCH(B556,Campaigns!$A$2:$A$31,0))</f>
        <v>Email</v>
      </c>
      <c r="J556" s="40" t="n">
        <f aca="false">DATE(YEAR(A556),MONTH(A556),1)</f>
        <v>46235</v>
      </c>
    </row>
    <row r="557" customFormat="false" ht="15" hidden="false" customHeight="false" outlineLevel="0" collapsed="false">
      <c r="A557" s="34" t="n">
        <v>46246</v>
      </c>
      <c r="B557" s="28" t="s">
        <v>114</v>
      </c>
      <c r="C557" s="35" t="n">
        <v>752</v>
      </c>
      <c r="D557" s="35" t="n">
        <v>42</v>
      </c>
      <c r="E557" s="35" t="n">
        <v>2</v>
      </c>
      <c r="F557" s="35" t="n">
        <v>3</v>
      </c>
      <c r="G557" s="35" t="n">
        <v>8170</v>
      </c>
      <c r="H557" s="35" t="n">
        <v>1055</v>
      </c>
      <c r="I557" s="28" t="str">
        <f aca="false">INDEX(Campaigns!$C$2:$C$31,MATCH(B557,Campaigns!$A$2:$A$31,0))</f>
        <v>WhatsApp Broadcast</v>
      </c>
      <c r="J557" s="40" t="n">
        <f aca="false">DATE(YEAR(A557),MONTH(A557),1)</f>
        <v>46235</v>
      </c>
    </row>
    <row r="558" customFormat="false" ht="15" hidden="false" customHeight="false" outlineLevel="0" collapsed="false">
      <c r="A558" s="34" t="n">
        <v>46246</v>
      </c>
      <c r="B558" s="28" t="s">
        <v>116</v>
      </c>
      <c r="C558" s="35" t="n">
        <v>26964</v>
      </c>
      <c r="D558" s="35" t="n">
        <v>303</v>
      </c>
      <c r="E558" s="35" t="n">
        <v>11</v>
      </c>
      <c r="F558" s="35" t="n">
        <v>8</v>
      </c>
      <c r="G558" s="35" t="n">
        <v>28900</v>
      </c>
      <c r="H558" s="35" t="n">
        <v>6242</v>
      </c>
      <c r="I558" s="28" t="str">
        <f aca="false">INDEX(Campaigns!$C$2:$C$31,MATCH(B558,Campaigns!$A$2:$A$31,0))</f>
        <v>Facebook &amp; Instagram Ads</v>
      </c>
      <c r="J558" s="40" t="n">
        <f aca="false">DATE(YEAR(A558),MONTH(A558),1)</f>
        <v>46235</v>
      </c>
    </row>
    <row r="559" customFormat="false" ht="15" hidden="false" customHeight="false" outlineLevel="0" collapsed="false">
      <c r="A559" s="34" t="n">
        <v>46246</v>
      </c>
      <c r="B559" s="28" t="s">
        <v>118</v>
      </c>
      <c r="C559" s="35" t="n">
        <v>3213</v>
      </c>
      <c r="D559" s="35" t="n">
        <v>150</v>
      </c>
      <c r="E559" s="35" t="n">
        <v>6</v>
      </c>
      <c r="F559" s="35" t="n">
        <v>10</v>
      </c>
      <c r="G559" s="35" t="n">
        <v>34410</v>
      </c>
      <c r="H559" s="35" t="n">
        <v>2872</v>
      </c>
      <c r="I559" s="28" t="str">
        <f aca="false">INDEX(Campaigns!$C$2:$C$31,MATCH(B559,Campaigns!$A$2:$A$31,0))</f>
        <v>Google Search Ads</v>
      </c>
      <c r="J559" s="40" t="n">
        <f aca="false">DATE(YEAR(A559),MONTH(A559),1)</f>
        <v>46235</v>
      </c>
    </row>
    <row r="560" customFormat="false" ht="15" hidden="false" customHeight="false" outlineLevel="0" collapsed="false">
      <c r="A560" s="34" t="n">
        <v>46246</v>
      </c>
      <c r="B560" s="28" t="s">
        <v>124</v>
      </c>
      <c r="C560" s="35" t="n">
        <v>8210</v>
      </c>
      <c r="D560" s="35" t="n">
        <v>173</v>
      </c>
      <c r="E560" s="35" t="n">
        <v>6</v>
      </c>
      <c r="F560" s="35" t="n">
        <v>5</v>
      </c>
      <c r="G560" s="35" t="n">
        <v>14310</v>
      </c>
      <c r="H560" s="35" t="n">
        <v>2857</v>
      </c>
      <c r="I560" s="28" t="str">
        <f aca="false">INDEX(Campaigns!$C$2:$C$31,MATCH(B560,Campaigns!$A$2:$A$31,0))</f>
        <v>Email</v>
      </c>
      <c r="J560" s="40" t="n">
        <f aca="false">DATE(YEAR(A560),MONTH(A560),1)</f>
        <v>46235</v>
      </c>
    </row>
    <row r="561" customFormat="false" ht="15" hidden="false" customHeight="false" outlineLevel="0" collapsed="false">
      <c r="A561" s="34" t="n">
        <v>46246</v>
      </c>
      <c r="B561" s="28" t="s">
        <v>126</v>
      </c>
      <c r="C561" s="35" t="n">
        <v>18582</v>
      </c>
      <c r="D561" s="35" t="n">
        <v>123</v>
      </c>
      <c r="E561" s="35" t="n">
        <v>2</v>
      </c>
      <c r="F561" s="35" t="n">
        <v>2</v>
      </c>
      <c r="G561" s="35" t="n">
        <v>4130</v>
      </c>
      <c r="H561" s="35" t="n">
        <v>3054</v>
      </c>
      <c r="I561" s="28" t="str">
        <f aca="false">INDEX(Campaigns!$C$2:$C$31,MATCH(B561,Campaigns!$A$2:$A$31,0))</f>
        <v>TikTok Ads</v>
      </c>
      <c r="J561" s="40" t="n">
        <f aca="false">DATE(YEAR(A561),MONTH(A561),1)</f>
        <v>46235</v>
      </c>
    </row>
    <row r="562" customFormat="false" ht="15" hidden="false" customHeight="false" outlineLevel="0" collapsed="false">
      <c r="A562" s="34" t="n">
        <v>46246</v>
      </c>
      <c r="B562" s="28" t="s">
        <v>130</v>
      </c>
      <c r="C562" s="35" t="n">
        <v>3356</v>
      </c>
      <c r="D562" s="35" t="n">
        <v>331</v>
      </c>
      <c r="E562" s="35" t="n">
        <v>15</v>
      </c>
      <c r="F562" s="35" t="n">
        <v>56</v>
      </c>
      <c r="G562" s="35" t="n">
        <v>154210</v>
      </c>
      <c r="H562" s="35" t="n">
        <v>4777</v>
      </c>
      <c r="I562" s="28" t="str">
        <f aca="false">INDEX(Campaigns!$C$2:$C$31,MATCH(B562,Campaigns!$A$2:$A$31,0))</f>
        <v>WhatsApp Broadcast</v>
      </c>
      <c r="J562" s="40" t="n">
        <f aca="false">DATE(YEAR(A562),MONTH(A562),1)</f>
        <v>46235</v>
      </c>
    </row>
    <row r="563" customFormat="false" ht="15" hidden="false" customHeight="false" outlineLevel="0" collapsed="false">
      <c r="A563" s="34" t="n">
        <v>46246</v>
      </c>
      <c r="B563" s="28" t="s">
        <v>134</v>
      </c>
      <c r="C563" s="35" t="n">
        <v>2002</v>
      </c>
      <c r="D563" s="35" t="n">
        <v>135</v>
      </c>
      <c r="E563" s="35" t="n">
        <v>8</v>
      </c>
      <c r="F563" s="35" t="n">
        <v>9</v>
      </c>
      <c r="G563" s="35" t="n">
        <v>29160</v>
      </c>
      <c r="H563" s="35" t="n">
        <v>3023</v>
      </c>
      <c r="I563" s="28" t="str">
        <f aca="false">INDEX(Campaigns!$C$2:$C$31,MATCH(B563,Campaigns!$A$2:$A$31,0))</f>
        <v>WhatsApp Broadcast</v>
      </c>
      <c r="J563" s="40" t="n">
        <f aca="false">DATE(YEAR(A563),MONTH(A563),1)</f>
        <v>46235</v>
      </c>
    </row>
    <row r="564" customFormat="false" ht="15" hidden="false" customHeight="false" outlineLevel="0" collapsed="false">
      <c r="A564" s="34" t="n">
        <v>46246</v>
      </c>
      <c r="B564" s="28" t="s">
        <v>136</v>
      </c>
      <c r="C564" s="35" t="n">
        <v>12544</v>
      </c>
      <c r="D564" s="35" t="n">
        <v>334</v>
      </c>
      <c r="E564" s="35" t="n">
        <v>17</v>
      </c>
      <c r="F564" s="35" t="n">
        <v>11</v>
      </c>
      <c r="G564" s="35" t="n">
        <v>34000</v>
      </c>
      <c r="H564" s="35" t="n">
        <v>4540</v>
      </c>
      <c r="I564" s="28" t="str">
        <f aca="false">INDEX(Campaigns!$C$2:$C$31,MATCH(B564,Campaigns!$A$2:$A$31,0))</f>
        <v>Email</v>
      </c>
      <c r="J564" s="40" t="n">
        <f aca="false">DATE(YEAR(A564),MONTH(A564),1)</f>
        <v>46235</v>
      </c>
    </row>
    <row r="565" customFormat="false" ht="15" hidden="false" customHeight="false" outlineLevel="0" collapsed="false">
      <c r="A565" s="34" t="n">
        <v>46246</v>
      </c>
      <c r="B565" s="28" t="s">
        <v>139</v>
      </c>
      <c r="C565" s="35" t="n">
        <v>15320</v>
      </c>
      <c r="D565" s="35" t="n">
        <v>142</v>
      </c>
      <c r="E565" s="35" t="n">
        <v>5</v>
      </c>
      <c r="F565" s="35" t="n">
        <v>1</v>
      </c>
      <c r="G565" s="35" t="n">
        <v>3060</v>
      </c>
      <c r="H565" s="35" t="n">
        <v>2886</v>
      </c>
      <c r="I565" s="28" t="str">
        <f aca="false">INDEX(Campaigns!$C$2:$C$31,MATCH(B565,Campaigns!$A$2:$A$31,0))</f>
        <v>TikTok Ads</v>
      </c>
      <c r="J565" s="40" t="n">
        <f aca="false">DATE(YEAR(A565),MONTH(A565),1)</f>
        <v>46235</v>
      </c>
    </row>
    <row r="566" customFormat="false" ht="15" hidden="false" customHeight="false" outlineLevel="0" collapsed="false">
      <c r="A566" s="34" t="n">
        <v>46246</v>
      </c>
      <c r="B566" s="28" t="s">
        <v>141</v>
      </c>
      <c r="C566" s="35" t="n">
        <v>7359</v>
      </c>
      <c r="D566" s="35" t="n">
        <v>265</v>
      </c>
      <c r="E566" s="35" t="n">
        <v>7</v>
      </c>
      <c r="F566" s="35" t="n">
        <v>13</v>
      </c>
      <c r="G566" s="35" t="n">
        <v>39560</v>
      </c>
      <c r="H566" s="35" t="n">
        <v>2615</v>
      </c>
      <c r="I566" s="28" t="str">
        <f aca="false">INDEX(Campaigns!$C$2:$C$31,MATCH(B566,Campaigns!$A$2:$A$31,0))</f>
        <v>Email</v>
      </c>
      <c r="J566" s="40" t="n">
        <f aca="false">DATE(YEAR(A566),MONTH(A566),1)</f>
        <v>46235</v>
      </c>
    </row>
    <row r="567" customFormat="false" ht="15" hidden="false" customHeight="false" outlineLevel="0" collapsed="false">
      <c r="A567" s="34" t="n">
        <v>46246</v>
      </c>
      <c r="B567" s="28" t="s">
        <v>145</v>
      </c>
      <c r="C567" s="35" t="n">
        <v>8421</v>
      </c>
      <c r="D567" s="35" t="n">
        <v>449</v>
      </c>
      <c r="E567" s="35" t="n">
        <v>20</v>
      </c>
      <c r="F567" s="35" t="n">
        <v>23</v>
      </c>
      <c r="G567" s="35" t="n">
        <v>76980</v>
      </c>
      <c r="H567" s="35" t="n">
        <v>8031</v>
      </c>
      <c r="I567" s="28" t="str">
        <f aca="false">INDEX(Campaigns!$C$2:$C$31,MATCH(B567,Campaigns!$A$2:$A$31,0))</f>
        <v>Google Search Ads</v>
      </c>
      <c r="J567" s="40" t="n">
        <f aca="false">DATE(YEAR(A567),MONTH(A567),1)</f>
        <v>46235</v>
      </c>
    </row>
    <row r="568" customFormat="false" ht="15" hidden="false" customHeight="false" outlineLevel="0" collapsed="false">
      <c r="A568" s="34" t="n">
        <v>46246</v>
      </c>
      <c r="B568" s="28" t="s">
        <v>147</v>
      </c>
      <c r="C568" s="35" t="n">
        <v>21516</v>
      </c>
      <c r="D568" s="35" t="n">
        <v>283</v>
      </c>
      <c r="E568" s="35" t="n">
        <v>4</v>
      </c>
      <c r="F568" s="35" t="n">
        <v>0</v>
      </c>
      <c r="G568" s="35" t="n">
        <v>0</v>
      </c>
      <c r="H568" s="35" t="n">
        <v>5275</v>
      </c>
      <c r="I568" s="28" t="str">
        <f aca="false">INDEX(Campaigns!$C$2:$C$31,MATCH(B568,Campaigns!$A$2:$A$31,0))</f>
        <v>Facebook &amp; Instagram Ads</v>
      </c>
      <c r="J568" s="40" t="n">
        <f aca="false">DATE(YEAR(A568),MONTH(A568),1)</f>
        <v>46235</v>
      </c>
    </row>
    <row r="569" customFormat="false" ht="15" hidden="false" customHeight="false" outlineLevel="0" collapsed="false">
      <c r="A569" s="34" t="n">
        <v>46246</v>
      </c>
      <c r="B569" s="28" t="s">
        <v>152</v>
      </c>
      <c r="C569" s="35" t="n">
        <v>6992</v>
      </c>
      <c r="D569" s="35" t="n">
        <v>60</v>
      </c>
      <c r="E569" s="35" t="n">
        <v>0</v>
      </c>
      <c r="F569" s="35" t="n">
        <v>0</v>
      </c>
      <c r="G569" s="35" t="n">
        <v>0</v>
      </c>
      <c r="H569" s="35" t="n">
        <v>4077</v>
      </c>
      <c r="I569" s="28" t="str">
        <f aca="false">INDEX(Campaigns!$C$2:$C$31,MATCH(B569,Campaigns!$A$2:$A$31,0))</f>
        <v>Influencer Partnerships</v>
      </c>
      <c r="J569" s="40" t="n">
        <f aca="false">DATE(YEAR(A569),MONTH(A569),1)</f>
        <v>46235</v>
      </c>
    </row>
    <row r="570" customFormat="false" ht="15" hidden="false" customHeight="false" outlineLevel="0" collapsed="false">
      <c r="A570" s="34" t="n">
        <v>46246</v>
      </c>
      <c r="B570" s="28" t="s">
        <v>154</v>
      </c>
      <c r="C570" s="35" t="n">
        <v>6130</v>
      </c>
      <c r="D570" s="35" t="n">
        <v>54</v>
      </c>
      <c r="E570" s="35" t="n">
        <v>1</v>
      </c>
      <c r="F570" s="35" t="n">
        <v>1</v>
      </c>
      <c r="G570" s="35" t="n">
        <v>3430</v>
      </c>
      <c r="H570" s="35" t="n">
        <v>3650</v>
      </c>
      <c r="I570" s="28" t="str">
        <f aca="false">INDEX(Campaigns!$C$2:$C$31,MATCH(B570,Campaigns!$A$2:$A$31,0))</f>
        <v>Influencer Partnerships</v>
      </c>
      <c r="J570" s="40" t="n">
        <f aca="false">DATE(YEAR(A570),MONTH(A570),1)</f>
        <v>46235</v>
      </c>
    </row>
    <row r="571" customFormat="false" ht="15" hidden="false" customHeight="false" outlineLevel="0" collapsed="false">
      <c r="A571" s="34" t="n">
        <v>46246</v>
      </c>
      <c r="B571" s="28" t="s">
        <v>156</v>
      </c>
      <c r="C571" s="35" t="n">
        <v>38542</v>
      </c>
      <c r="D571" s="35" t="n">
        <v>363</v>
      </c>
      <c r="E571" s="35" t="n">
        <v>49</v>
      </c>
      <c r="F571" s="35" t="n">
        <v>9</v>
      </c>
      <c r="G571" s="35" t="n">
        <v>22680</v>
      </c>
      <c r="H571" s="35" t="n">
        <v>7599</v>
      </c>
      <c r="I571" s="28" t="str">
        <f aca="false">INDEX(Campaigns!$C$2:$C$31,MATCH(B571,Campaigns!$A$2:$A$31,0))</f>
        <v>TikTok Ads</v>
      </c>
      <c r="J571" s="40" t="n">
        <f aca="false">DATE(YEAR(A571),MONTH(A571),1)</f>
        <v>46235</v>
      </c>
    </row>
    <row r="572" customFormat="false" ht="15" hidden="false" customHeight="false" outlineLevel="0" collapsed="false">
      <c r="A572" s="34" t="n">
        <v>46246</v>
      </c>
      <c r="B572" s="28" t="s">
        <v>158</v>
      </c>
      <c r="C572" s="35" t="n">
        <v>18387</v>
      </c>
      <c r="D572" s="35" t="n">
        <v>178</v>
      </c>
      <c r="E572" s="35" t="n">
        <v>26</v>
      </c>
      <c r="F572" s="35" t="n">
        <v>1</v>
      </c>
      <c r="G572" s="35" t="n">
        <v>3750</v>
      </c>
      <c r="H572" s="35" t="n">
        <v>11469</v>
      </c>
      <c r="I572" s="28" t="str">
        <f aca="false">INDEX(Campaigns!$C$2:$C$31,MATCH(B572,Campaigns!$A$2:$A$31,0))</f>
        <v>Influencer Partnerships</v>
      </c>
      <c r="J572" s="40" t="n">
        <f aca="false">DATE(YEAR(A572),MONTH(A572),1)</f>
        <v>46235</v>
      </c>
    </row>
    <row r="573" customFormat="false" ht="15" hidden="false" customHeight="false" outlineLevel="0" collapsed="false">
      <c r="A573" s="34" t="n">
        <v>46246</v>
      </c>
      <c r="B573" s="28" t="s">
        <v>159</v>
      </c>
      <c r="C573" s="35" t="n">
        <v>23483</v>
      </c>
      <c r="D573" s="35" t="n">
        <v>366</v>
      </c>
      <c r="E573" s="35" t="n">
        <v>59</v>
      </c>
      <c r="F573" s="35" t="n">
        <v>7</v>
      </c>
      <c r="G573" s="35" t="n">
        <v>25370</v>
      </c>
      <c r="H573" s="35" t="n">
        <v>5637</v>
      </c>
      <c r="I573" s="28" t="str">
        <f aca="false">INDEX(Campaigns!$C$2:$C$31,MATCH(B573,Campaigns!$A$2:$A$31,0))</f>
        <v>Facebook &amp; Instagram Ads</v>
      </c>
      <c r="J573" s="40" t="n">
        <f aca="false">DATE(YEAR(A573),MONTH(A573),1)</f>
        <v>46235</v>
      </c>
    </row>
    <row r="574" customFormat="false" ht="15" hidden="false" customHeight="false" outlineLevel="0" collapsed="false">
      <c r="A574" s="34" t="n">
        <v>46246</v>
      </c>
      <c r="B574" s="28" t="s">
        <v>161</v>
      </c>
      <c r="C574" s="35" t="n">
        <v>40319</v>
      </c>
      <c r="D574" s="35" t="n">
        <v>520</v>
      </c>
      <c r="E574" s="35" t="n">
        <v>12</v>
      </c>
      <c r="F574" s="35" t="n">
        <v>3</v>
      </c>
      <c r="G574" s="35" t="n">
        <v>9590</v>
      </c>
      <c r="H574" s="35" t="n">
        <v>9923</v>
      </c>
      <c r="I574" s="28" t="str">
        <f aca="false">INDEX(Campaigns!$C$2:$C$31,MATCH(B574,Campaigns!$A$2:$A$31,0))</f>
        <v>Facebook &amp; Instagram Ads</v>
      </c>
      <c r="J574" s="40" t="n">
        <f aca="false">DATE(YEAR(A574),MONTH(A574),1)</f>
        <v>46235</v>
      </c>
    </row>
    <row r="575" customFormat="false" ht="15" hidden="false" customHeight="false" outlineLevel="0" collapsed="false">
      <c r="A575" s="34" t="n">
        <v>46246</v>
      </c>
      <c r="B575" s="28" t="s">
        <v>163</v>
      </c>
      <c r="C575" s="35" t="n">
        <v>1423</v>
      </c>
      <c r="D575" s="35" t="n">
        <v>43</v>
      </c>
      <c r="E575" s="35" t="n">
        <v>1</v>
      </c>
      <c r="F575" s="35" t="n">
        <v>2</v>
      </c>
      <c r="G575" s="35" t="n">
        <v>6660</v>
      </c>
      <c r="H575" s="35" t="n">
        <v>532</v>
      </c>
      <c r="I575" s="28" t="str">
        <f aca="false">INDEX(Campaigns!$C$2:$C$31,MATCH(B575,Campaigns!$A$2:$A$31,0))</f>
        <v>Email</v>
      </c>
      <c r="J575" s="40" t="n">
        <f aca="false">DATE(YEAR(A575),MONTH(A575),1)</f>
        <v>46235</v>
      </c>
    </row>
    <row r="576" customFormat="false" ht="15" hidden="false" customHeight="false" outlineLevel="0" collapsed="false">
      <c r="A576" s="34" t="n">
        <v>46247</v>
      </c>
      <c r="B576" s="28" t="s">
        <v>105</v>
      </c>
      <c r="C576" s="35" t="n">
        <v>6801</v>
      </c>
      <c r="D576" s="35" t="n">
        <v>236</v>
      </c>
      <c r="E576" s="35" t="n">
        <v>12</v>
      </c>
      <c r="F576" s="35" t="n">
        <v>11</v>
      </c>
      <c r="G576" s="35" t="n">
        <v>44280</v>
      </c>
      <c r="H576" s="35" t="n">
        <v>5706</v>
      </c>
      <c r="I576" s="28" t="str">
        <f aca="false">INDEX(Campaigns!$C$2:$C$31,MATCH(B576,Campaigns!$A$2:$A$31,0))</f>
        <v>Google Search Ads</v>
      </c>
      <c r="J576" s="40" t="n">
        <f aca="false">DATE(YEAR(A576),MONTH(A576),1)</f>
        <v>46235</v>
      </c>
    </row>
    <row r="577" customFormat="false" ht="15" hidden="false" customHeight="false" outlineLevel="0" collapsed="false">
      <c r="A577" s="34" t="n">
        <v>46247</v>
      </c>
      <c r="B577" s="28" t="s">
        <v>108</v>
      </c>
      <c r="C577" s="35" t="n">
        <v>7790</v>
      </c>
      <c r="D577" s="35" t="n">
        <v>254</v>
      </c>
      <c r="E577" s="35" t="n">
        <v>15</v>
      </c>
      <c r="F577" s="35" t="n">
        <v>16</v>
      </c>
      <c r="G577" s="35" t="n">
        <v>49710</v>
      </c>
      <c r="H577" s="35" t="n">
        <v>2495</v>
      </c>
      <c r="I577" s="28" t="str">
        <f aca="false">INDEX(Campaigns!$C$2:$C$31,MATCH(B577,Campaigns!$A$2:$A$31,0))</f>
        <v>Email</v>
      </c>
      <c r="J577" s="40" t="n">
        <f aca="false">DATE(YEAR(A577),MONTH(A577),1)</f>
        <v>46235</v>
      </c>
    </row>
    <row r="578" customFormat="false" ht="15" hidden="false" customHeight="false" outlineLevel="0" collapsed="false">
      <c r="A578" s="34" t="n">
        <v>46247</v>
      </c>
      <c r="B578" s="28" t="s">
        <v>114</v>
      </c>
      <c r="C578" s="35" t="n">
        <v>695</v>
      </c>
      <c r="D578" s="35" t="n">
        <v>40</v>
      </c>
      <c r="E578" s="35" t="n">
        <v>2</v>
      </c>
      <c r="F578" s="35" t="n">
        <v>3</v>
      </c>
      <c r="G578" s="35" t="n">
        <v>7890</v>
      </c>
      <c r="H578" s="35" t="n">
        <v>998</v>
      </c>
      <c r="I578" s="28" t="str">
        <f aca="false">INDEX(Campaigns!$C$2:$C$31,MATCH(B578,Campaigns!$A$2:$A$31,0))</f>
        <v>WhatsApp Broadcast</v>
      </c>
      <c r="J578" s="40" t="n">
        <f aca="false">DATE(YEAR(A578),MONTH(A578),1)</f>
        <v>46235</v>
      </c>
    </row>
    <row r="579" customFormat="false" ht="15" hidden="false" customHeight="false" outlineLevel="0" collapsed="false">
      <c r="A579" s="34" t="n">
        <v>46247</v>
      </c>
      <c r="B579" s="28" t="s">
        <v>116</v>
      </c>
      <c r="C579" s="35" t="n">
        <v>22483</v>
      </c>
      <c r="D579" s="35" t="n">
        <v>247</v>
      </c>
      <c r="E579" s="35" t="n">
        <v>21</v>
      </c>
      <c r="F579" s="35" t="n">
        <v>5</v>
      </c>
      <c r="G579" s="35" t="n">
        <v>16430</v>
      </c>
      <c r="H579" s="35" t="n">
        <v>5737</v>
      </c>
      <c r="I579" s="28" t="str">
        <f aca="false">INDEX(Campaigns!$C$2:$C$31,MATCH(B579,Campaigns!$A$2:$A$31,0))</f>
        <v>Facebook &amp; Instagram Ads</v>
      </c>
      <c r="J579" s="40" t="n">
        <f aca="false">DATE(YEAR(A579),MONTH(A579),1)</f>
        <v>46235</v>
      </c>
    </row>
    <row r="580" customFormat="false" ht="15" hidden="false" customHeight="false" outlineLevel="0" collapsed="false">
      <c r="A580" s="34" t="n">
        <v>46247</v>
      </c>
      <c r="B580" s="28" t="s">
        <v>118</v>
      </c>
      <c r="C580" s="35" t="n">
        <v>3213</v>
      </c>
      <c r="D580" s="35" t="n">
        <v>154</v>
      </c>
      <c r="E580" s="35" t="n">
        <v>8</v>
      </c>
      <c r="F580" s="35" t="n">
        <v>9</v>
      </c>
      <c r="G580" s="35" t="n">
        <v>34250</v>
      </c>
      <c r="H580" s="35" t="n">
        <v>2725</v>
      </c>
      <c r="I580" s="28" t="str">
        <f aca="false">INDEX(Campaigns!$C$2:$C$31,MATCH(B580,Campaigns!$A$2:$A$31,0))</f>
        <v>Google Search Ads</v>
      </c>
      <c r="J580" s="40" t="n">
        <f aca="false">DATE(YEAR(A580),MONTH(A580),1)</f>
        <v>46235</v>
      </c>
    </row>
    <row r="581" customFormat="false" ht="15" hidden="false" customHeight="false" outlineLevel="0" collapsed="false">
      <c r="A581" s="34" t="n">
        <v>46247</v>
      </c>
      <c r="B581" s="28" t="s">
        <v>124</v>
      </c>
      <c r="C581" s="35" t="n">
        <v>6102</v>
      </c>
      <c r="D581" s="35" t="n">
        <v>137</v>
      </c>
      <c r="E581" s="35" t="n">
        <v>8</v>
      </c>
      <c r="F581" s="35" t="n">
        <v>3</v>
      </c>
      <c r="G581" s="35" t="n">
        <v>8590</v>
      </c>
      <c r="H581" s="35" t="n">
        <v>2302</v>
      </c>
      <c r="I581" s="28" t="str">
        <f aca="false">INDEX(Campaigns!$C$2:$C$31,MATCH(B581,Campaigns!$A$2:$A$31,0))</f>
        <v>Email</v>
      </c>
      <c r="J581" s="40" t="n">
        <f aca="false">DATE(YEAR(A581),MONTH(A581),1)</f>
        <v>46235</v>
      </c>
    </row>
    <row r="582" customFormat="false" ht="15" hidden="false" customHeight="false" outlineLevel="0" collapsed="false">
      <c r="A582" s="34" t="n">
        <v>46247</v>
      </c>
      <c r="B582" s="28" t="s">
        <v>126</v>
      </c>
      <c r="C582" s="35" t="n">
        <v>16316</v>
      </c>
      <c r="D582" s="35" t="n">
        <v>95</v>
      </c>
      <c r="E582" s="35" t="n">
        <v>9</v>
      </c>
      <c r="F582" s="35" t="n">
        <v>0</v>
      </c>
      <c r="G582" s="35" t="n">
        <v>0</v>
      </c>
      <c r="H582" s="35" t="n">
        <v>3175</v>
      </c>
      <c r="I582" s="28" t="str">
        <f aca="false">INDEX(Campaigns!$C$2:$C$31,MATCH(B582,Campaigns!$A$2:$A$31,0))</f>
        <v>TikTok Ads</v>
      </c>
      <c r="J582" s="40" t="n">
        <f aca="false">DATE(YEAR(A582),MONTH(A582),1)</f>
        <v>46235</v>
      </c>
    </row>
    <row r="583" customFormat="false" ht="15" hidden="false" customHeight="false" outlineLevel="0" collapsed="false">
      <c r="A583" s="34" t="n">
        <v>46247</v>
      </c>
      <c r="B583" s="28" t="s">
        <v>130</v>
      </c>
      <c r="C583" s="35" t="n">
        <v>3083</v>
      </c>
      <c r="D583" s="35" t="n">
        <v>287</v>
      </c>
      <c r="E583" s="35" t="n">
        <v>15</v>
      </c>
      <c r="F583" s="35" t="n">
        <v>29</v>
      </c>
      <c r="G583" s="35" t="n">
        <v>84430</v>
      </c>
      <c r="H583" s="35" t="n">
        <v>4118</v>
      </c>
      <c r="I583" s="28" t="str">
        <f aca="false">INDEX(Campaigns!$C$2:$C$31,MATCH(B583,Campaigns!$A$2:$A$31,0))</f>
        <v>WhatsApp Broadcast</v>
      </c>
      <c r="J583" s="40" t="n">
        <f aca="false">DATE(YEAR(A583),MONTH(A583),1)</f>
        <v>46235</v>
      </c>
    </row>
    <row r="584" customFormat="false" ht="15" hidden="false" customHeight="false" outlineLevel="0" collapsed="false">
      <c r="A584" s="34" t="n">
        <v>46247</v>
      </c>
      <c r="B584" s="28" t="s">
        <v>134</v>
      </c>
      <c r="C584" s="35" t="n">
        <v>1989</v>
      </c>
      <c r="D584" s="35" t="n">
        <v>132</v>
      </c>
      <c r="E584" s="35" t="n">
        <v>6</v>
      </c>
      <c r="F584" s="35" t="n">
        <v>8</v>
      </c>
      <c r="G584" s="35" t="n">
        <v>22630</v>
      </c>
      <c r="H584" s="35" t="n">
        <v>2849</v>
      </c>
      <c r="I584" s="28" t="str">
        <f aca="false">INDEX(Campaigns!$C$2:$C$31,MATCH(B584,Campaigns!$A$2:$A$31,0))</f>
        <v>WhatsApp Broadcast</v>
      </c>
      <c r="J584" s="40" t="n">
        <f aca="false">DATE(YEAR(A584),MONTH(A584),1)</f>
        <v>46235</v>
      </c>
    </row>
    <row r="585" customFormat="false" ht="15" hidden="false" customHeight="false" outlineLevel="0" collapsed="false">
      <c r="A585" s="34" t="n">
        <v>46247</v>
      </c>
      <c r="B585" s="28" t="s">
        <v>136</v>
      </c>
      <c r="C585" s="35" t="n">
        <v>12723</v>
      </c>
      <c r="D585" s="35" t="n">
        <v>373</v>
      </c>
      <c r="E585" s="35" t="n">
        <v>8</v>
      </c>
      <c r="F585" s="35" t="n">
        <v>17</v>
      </c>
      <c r="G585" s="35" t="n">
        <v>53520</v>
      </c>
      <c r="H585" s="35" t="n">
        <v>4191</v>
      </c>
      <c r="I585" s="28" t="str">
        <f aca="false">INDEX(Campaigns!$C$2:$C$31,MATCH(B585,Campaigns!$A$2:$A$31,0))</f>
        <v>Email</v>
      </c>
      <c r="J585" s="40" t="n">
        <f aca="false">DATE(YEAR(A585),MONTH(A585),1)</f>
        <v>46235</v>
      </c>
    </row>
    <row r="586" customFormat="false" ht="15" hidden="false" customHeight="false" outlineLevel="0" collapsed="false">
      <c r="A586" s="34" t="n">
        <v>46247</v>
      </c>
      <c r="B586" s="28" t="s">
        <v>139</v>
      </c>
      <c r="C586" s="35" t="n">
        <v>16826</v>
      </c>
      <c r="D586" s="35" t="n">
        <v>175</v>
      </c>
      <c r="E586" s="35" t="n">
        <v>7</v>
      </c>
      <c r="F586" s="35" t="n">
        <v>1</v>
      </c>
      <c r="G586" s="35" t="n">
        <v>3890</v>
      </c>
      <c r="H586" s="35" t="n">
        <v>2994</v>
      </c>
      <c r="I586" s="28" t="str">
        <f aca="false">INDEX(Campaigns!$C$2:$C$31,MATCH(B586,Campaigns!$A$2:$A$31,0))</f>
        <v>TikTok Ads</v>
      </c>
      <c r="J586" s="40" t="n">
        <f aca="false">DATE(YEAR(A586),MONTH(A586),1)</f>
        <v>46235</v>
      </c>
    </row>
    <row r="587" customFormat="false" ht="15" hidden="false" customHeight="false" outlineLevel="0" collapsed="false">
      <c r="A587" s="34" t="n">
        <v>46247</v>
      </c>
      <c r="B587" s="28" t="s">
        <v>141</v>
      </c>
      <c r="C587" s="35" t="n">
        <v>7501</v>
      </c>
      <c r="D587" s="35" t="n">
        <v>245</v>
      </c>
      <c r="E587" s="35" t="n">
        <v>6</v>
      </c>
      <c r="F587" s="35" t="n">
        <v>9</v>
      </c>
      <c r="G587" s="35" t="n">
        <v>32570</v>
      </c>
      <c r="H587" s="35" t="n">
        <v>2459</v>
      </c>
      <c r="I587" s="28" t="str">
        <f aca="false">INDEX(Campaigns!$C$2:$C$31,MATCH(B587,Campaigns!$A$2:$A$31,0))</f>
        <v>Email</v>
      </c>
      <c r="J587" s="40" t="n">
        <f aca="false">DATE(YEAR(A587),MONTH(A587),1)</f>
        <v>46235</v>
      </c>
    </row>
    <row r="588" customFormat="false" ht="15" hidden="false" customHeight="false" outlineLevel="0" collapsed="false">
      <c r="A588" s="34" t="n">
        <v>46247</v>
      </c>
      <c r="B588" s="28" t="s">
        <v>145</v>
      </c>
      <c r="C588" s="35" t="n">
        <v>9022</v>
      </c>
      <c r="D588" s="35" t="n">
        <v>478</v>
      </c>
      <c r="E588" s="35" t="n">
        <v>19</v>
      </c>
      <c r="F588" s="35" t="n">
        <v>19</v>
      </c>
      <c r="G588" s="35" t="n">
        <v>78990</v>
      </c>
      <c r="H588" s="35" t="n">
        <v>7969</v>
      </c>
      <c r="I588" s="28" t="str">
        <f aca="false">INDEX(Campaigns!$C$2:$C$31,MATCH(B588,Campaigns!$A$2:$A$31,0))</f>
        <v>Google Search Ads</v>
      </c>
      <c r="J588" s="40" t="n">
        <f aca="false">DATE(YEAR(A588),MONTH(A588),1)</f>
        <v>46235</v>
      </c>
    </row>
    <row r="589" customFormat="false" ht="15" hidden="false" customHeight="false" outlineLevel="0" collapsed="false">
      <c r="A589" s="34" t="n">
        <v>46247</v>
      </c>
      <c r="B589" s="28" t="s">
        <v>147</v>
      </c>
      <c r="C589" s="35" t="n">
        <v>24514</v>
      </c>
      <c r="D589" s="35" t="n">
        <v>303</v>
      </c>
      <c r="E589" s="35" t="n">
        <v>5</v>
      </c>
      <c r="F589" s="35" t="n">
        <v>0</v>
      </c>
      <c r="G589" s="35" t="n">
        <v>0</v>
      </c>
      <c r="H589" s="35" t="n">
        <v>6062</v>
      </c>
      <c r="I589" s="28" t="str">
        <f aca="false">INDEX(Campaigns!$C$2:$C$31,MATCH(B589,Campaigns!$A$2:$A$31,0))</f>
        <v>Facebook &amp; Instagram Ads</v>
      </c>
      <c r="J589" s="40" t="n">
        <f aca="false">DATE(YEAR(A589),MONTH(A589),1)</f>
        <v>46235</v>
      </c>
    </row>
    <row r="590" customFormat="false" ht="15" hidden="false" customHeight="false" outlineLevel="0" collapsed="false">
      <c r="A590" s="34" t="n">
        <v>46247</v>
      </c>
      <c r="B590" s="28" t="s">
        <v>152</v>
      </c>
      <c r="C590" s="35" t="n">
        <v>7210</v>
      </c>
      <c r="D590" s="35" t="n">
        <v>77</v>
      </c>
      <c r="E590" s="35" t="n">
        <v>4</v>
      </c>
      <c r="F590" s="35" t="n">
        <v>0</v>
      </c>
      <c r="G590" s="35" t="n">
        <v>0</v>
      </c>
      <c r="H590" s="35" t="n">
        <v>4223</v>
      </c>
      <c r="I590" s="28" t="str">
        <f aca="false">INDEX(Campaigns!$C$2:$C$31,MATCH(B590,Campaigns!$A$2:$A$31,0))</f>
        <v>Influencer Partnerships</v>
      </c>
      <c r="J590" s="40" t="n">
        <f aca="false">DATE(YEAR(A590),MONTH(A590),1)</f>
        <v>46235</v>
      </c>
    </row>
    <row r="591" customFormat="false" ht="15" hidden="false" customHeight="false" outlineLevel="0" collapsed="false">
      <c r="A591" s="34" t="n">
        <v>46247</v>
      </c>
      <c r="B591" s="28" t="s">
        <v>156</v>
      </c>
      <c r="C591" s="35" t="n">
        <v>35199</v>
      </c>
      <c r="D591" s="35" t="n">
        <v>313</v>
      </c>
      <c r="E591" s="35" t="n">
        <v>36</v>
      </c>
      <c r="F591" s="35" t="n">
        <v>7</v>
      </c>
      <c r="G591" s="35" t="n">
        <v>18850</v>
      </c>
      <c r="H591" s="35" t="n">
        <v>6600</v>
      </c>
      <c r="I591" s="28" t="str">
        <f aca="false">INDEX(Campaigns!$C$2:$C$31,MATCH(B591,Campaigns!$A$2:$A$31,0))</f>
        <v>TikTok Ads</v>
      </c>
      <c r="J591" s="40" t="n">
        <f aca="false">DATE(YEAR(A591),MONTH(A591),1)</f>
        <v>46235</v>
      </c>
    </row>
    <row r="592" customFormat="false" ht="15" hidden="false" customHeight="false" outlineLevel="0" collapsed="false">
      <c r="A592" s="34" t="n">
        <v>46247</v>
      </c>
      <c r="B592" s="28" t="s">
        <v>158</v>
      </c>
      <c r="C592" s="35" t="n">
        <v>19574</v>
      </c>
      <c r="D592" s="35" t="n">
        <v>183</v>
      </c>
      <c r="E592" s="35" t="n">
        <v>27</v>
      </c>
      <c r="F592" s="35" t="n">
        <v>3</v>
      </c>
      <c r="G592" s="35" t="n">
        <v>12260</v>
      </c>
      <c r="H592" s="35" t="n">
        <v>11596</v>
      </c>
      <c r="I592" s="28" t="str">
        <f aca="false">INDEX(Campaigns!$C$2:$C$31,MATCH(B592,Campaigns!$A$2:$A$31,0))</f>
        <v>Influencer Partnerships</v>
      </c>
      <c r="J592" s="40" t="n">
        <f aca="false">DATE(YEAR(A592),MONTH(A592),1)</f>
        <v>46235</v>
      </c>
    </row>
    <row r="593" customFormat="false" ht="15" hidden="false" customHeight="false" outlineLevel="0" collapsed="false">
      <c r="A593" s="34" t="n">
        <v>46247</v>
      </c>
      <c r="B593" s="28" t="s">
        <v>159</v>
      </c>
      <c r="C593" s="35" t="n">
        <v>21809</v>
      </c>
      <c r="D593" s="35" t="n">
        <v>356</v>
      </c>
      <c r="E593" s="35" t="n">
        <v>45</v>
      </c>
      <c r="F593" s="35" t="n">
        <v>2</v>
      </c>
      <c r="G593" s="35" t="n">
        <v>8810</v>
      </c>
      <c r="H593" s="35" t="n">
        <v>5998</v>
      </c>
      <c r="I593" s="28" t="str">
        <f aca="false">INDEX(Campaigns!$C$2:$C$31,MATCH(B593,Campaigns!$A$2:$A$31,0))</f>
        <v>Facebook &amp; Instagram Ads</v>
      </c>
      <c r="J593" s="40" t="n">
        <f aca="false">DATE(YEAR(A593),MONTH(A593),1)</f>
        <v>46235</v>
      </c>
    </row>
    <row r="594" customFormat="false" ht="15" hidden="false" customHeight="false" outlineLevel="0" collapsed="false">
      <c r="A594" s="34" t="n">
        <v>46247</v>
      </c>
      <c r="B594" s="28" t="s">
        <v>161</v>
      </c>
      <c r="C594" s="35" t="n">
        <v>42492</v>
      </c>
      <c r="D594" s="35" t="n">
        <v>546</v>
      </c>
      <c r="E594" s="35" t="n">
        <v>9</v>
      </c>
      <c r="F594" s="35" t="n">
        <v>2</v>
      </c>
      <c r="G594" s="35" t="n">
        <v>6040</v>
      </c>
      <c r="H594" s="35" t="n">
        <v>11037</v>
      </c>
      <c r="I594" s="28" t="str">
        <f aca="false">INDEX(Campaigns!$C$2:$C$31,MATCH(B594,Campaigns!$A$2:$A$31,0))</f>
        <v>Facebook &amp; Instagram Ads</v>
      </c>
      <c r="J594" s="40" t="n">
        <f aca="false">DATE(YEAR(A594),MONTH(A594),1)</f>
        <v>46235</v>
      </c>
    </row>
    <row r="595" customFormat="false" ht="15" hidden="false" customHeight="false" outlineLevel="0" collapsed="false">
      <c r="A595" s="34" t="n">
        <v>46247</v>
      </c>
      <c r="B595" s="28" t="s">
        <v>163</v>
      </c>
      <c r="C595" s="35" t="n">
        <v>1805</v>
      </c>
      <c r="D595" s="35" t="n">
        <v>66</v>
      </c>
      <c r="E595" s="35" t="n">
        <v>10</v>
      </c>
      <c r="F595" s="35" t="n">
        <v>3</v>
      </c>
      <c r="G595" s="35" t="n">
        <v>7820</v>
      </c>
      <c r="H595" s="35" t="n">
        <v>574</v>
      </c>
      <c r="I595" s="28" t="str">
        <f aca="false">INDEX(Campaigns!$C$2:$C$31,MATCH(B595,Campaigns!$A$2:$A$31,0))</f>
        <v>Email</v>
      </c>
      <c r="J595" s="40" t="n">
        <f aca="false">DATE(YEAR(A595),MONTH(A595),1)</f>
        <v>46235</v>
      </c>
    </row>
    <row r="596" customFormat="false" ht="15" hidden="false" customHeight="false" outlineLevel="0" collapsed="false">
      <c r="A596" s="34" t="n">
        <v>46248</v>
      </c>
      <c r="B596" s="28" t="s">
        <v>105</v>
      </c>
      <c r="C596" s="35" t="n">
        <v>4938</v>
      </c>
      <c r="D596" s="35" t="n">
        <v>191</v>
      </c>
      <c r="E596" s="35" t="n">
        <v>6</v>
      </c>
      <c r="F596" s="35" t="n">
        <v>5</v>
      </c>
      <c r="G596" s="35" t="n">
        <v>20280</v>
      </c>
      <c r="H596" s="35" t="n">
        <v>4924</v>
      </c>
      <c r="I596" s="28" t="str">
        <f aca="false">INDEX(Campaigns!$C$2:$C$31,MATCH(B596,Campaigns!$A$2:$A$31,0))</f>
        <v>Google Search Ads</v>
      </c>
      <c r="J596" s="40" t="n">
        <f aca="false">DATE(YEAR(A596),MONTH(A596),1)</f>
        <v>46235</v>
      </c>
    </row>
    <row r="597" customFormat="false" ht="15" hidden="false" customHeight="false" outlineLevel="0" collapsed="false">
      <c r="A597" s="34" t="n">
        <v>46248</v>
      </c>
      <c r="B597" s="28" t="s">
        <v>108</v>
      </c>
      <c r="C597" s="35" t="n">
        <v>7482</v>
      </c>
      <c r="D597" s="35" t="n">
        <v>262</v>
      </c>
      <c r="E597" s="35" t="n">
        <v>4</v>
      </c>
      <c r="F597" s="35" t="n">
        <v>13</v>
      </c>
      <c r="G597" s="35" t="n">
        <v>39590</v>
      </c>
      <c r="H597" s="35" t="n">
        <v>2463</v>
      </c>
      <c r="I597" s="28" t="str">
        <f aca="false">INDEX(Campaigns!$C$2:$C$31,MATCH(B597,Campaigns!$A$2:$A$31,0))</f>
        <v>Email</v>
      </c>
      <c r="J597" s="40" t="n">
        <f aca="false">DATE(YEAR(A597),MONTH(A597),1)</f>
        <v>46235</v>
      </c>
    </row>
    <row r="598" customFormat="false" ht="15" hidden="false" customHeight="false" outlineLevel="0" collapsed="false">
      <c r="A598" s="34" t="n">
        <v>46248</v>
      </c>
      <c r="B598" s="28" t="s">
        <v>116</v>
      </c>
      <c r="C598" s="35" t="n">
        <v>23565</v>
      </c>
      <c r="D598" s="35" t="n">
        <v>273</v>
      </c>
      <c r="E598" s="35" t="n">
        <v>14</v>
      </c>
      <c r="F598" s="35" t="n">
        <v>10</v>
      </c>
      <c r="G598" s="35" t="n">
        <v>28560</v>
      </c>
      <c r="H598" s="35" t="n">
        <v>6257</v>
      </c>
      <c r="I598" s="28" t="str">
        <f aca="false">INDEX(Campaigns!$C$2:$C$31,MATCH(B598,Campaigns!$A$2:$A$31,0))</f>
        <v>Facebook &amp; Instagram Ads</v>
      </c>
      <c r="J598" s="40" t="n">
        <f aca="false">DATE(YEAR(A598),MONTH(A598),1)</f>
        <v>46235</v>
      </c>
    </row>
    <row r="599" customFormat="false" ht="15" hidden="false" customHeight="false" outlineLevel="0" collapsed="false">
      <c r="A599" s="34" t="n">
        <v>46248</v>
      </c>
      <c r="B599" s="28" t="s">
        <v>118</v>
      </c>
      <c r="C599" s="35" t="n">
        <v>2661</v>
      </c>
      <c r="D599" s="35" t="n">
        <v>125</v>
      </c>
      <c r="E599" s="35" t="n">
        <v>6</v>
      </c>
      <c r="F599" s="35" t="n">
        <v>2</v>
      </c>
      <c r="G599" s="35" t="n">
        <v>6580</v>
      </c>
      <c r="H599" s="35" t="n">
        <v>2467</v>
      </c>
      <c r="I599" s="28" t="str">
        <f aca="false">INDEX(Campaigns!$C$2:$C$31,MATCH(B599,Campaigns!$A$2:$A$31,0))</f>
        <v>Google Search Ads</v>
      </c>
      <c r="J599" s="40" t="n">
        <f aca="false">DATE(YEAR(A599),MONTH(A599),1)</f>
        <v>46235</v>
      </c>
    </row>
    <row r="600" customFormat="false" ht="15" hidden="false" customHeight="false" outlineLevel="0" collapsed="false">
      <c r="A600" s="34" t="n">
        <v>46248</v>
      </c>
      <c r="B600" s="28" t="s">
        <v>124</v>
      </c>
      <c r="C600" s="35" t="n">
        <v>7929</v>
      </c>
      <c r="D600" s="35" t="n">
        <v>180</v>
      </c>
      <c r="E600" s="35" t="n">
        <v>4</v>
      </c>
      <c r="F600" s="35" t="n">
        <v>7</v>
      </c>
      <c r="G600" s="35" t="n">
        <v>22120</v>
      </c>
      <c r="H600" s="35" t="n">
        <v>3066</v>
      </c>
      <c r="I600" s="28" t="str">
        <f aca="false">INDEX(Campaigns!$C$2:$C$31,MATCH(B600,Campaigns!$A$2:$A$31,0))</f>
        <v>Email</v>
      </c>
      <c r="J600" s="40" t="n">
        <f aca="false">DATE(YEAR(A600),MONTH(A600),1)</f>
        <v>46235</v>
      </c>
    </row>
    <row r="601" customFormat="false" ht="15" hidden="false" customHeight="false" outlineLevel="0" collapsed="false">
      <c r="A601" s="34" t="n">
        <v>46248</v>
      </c>
      <c r="B601" s="28" t="s">
        <v>126</v>
      </c>
      <c r="C601" s="35" t="n">
        <v>16208</v>
      </c>
      <c r="D601" s="35" t="n">
        <v>115</v>
      </c>
      <c r="E601" s="35" t="n">
        <v>7</v>
      </c>
      <c r="F601" s="35" t="n">
        <v>0</v>
      </c>
      <c r="G601" s="35" t="n">
        <v>0</v>
      </c>
      <c r="H601" s="35" t="n">
        <v>2823</v>
      </c>
      <c r="I601" s="28" t="str">
        <f aca="false">INDEX(Campaigns!$C$2:$C$31,MATCH(B601,Campaigns!$A$2:$A$31,0))</f>
        <v>TikTok Ads</v>
      </c>
      <c r="J601" s="40" t="n">
        <f aca="false">DATE(YEAR(A601),MONTH(A601),1)</f>
        <v>46235</v>
      </c>
    </row>
    <row r="602" customFormat="false" ht="15" hidden="false" customHeight="false" outlineLevel="0" collapsed="false">
      <c r="A602" s="34" t="n">
        <v>46248</v>
      </c>
      <c r="B602" s="28" t="s">
        <v>130</v>
      </c>
      <c r="C602" s="35" t="n">
        <v>3325</v>
      </c>
      <c r="D602" s="35" t="n">
        <v>290</v>
      </c>
      <c r="E602" s="35" t="n">
        <v>11</v>
      </c>
      <c r="F602" s="35" t="n">
        <v>21</v>
      </c>
      <c r="G602" s="35" t="n">
        <v>66310</v>
      </c>
      <c r="H602" s="35" t="n">
        <v>4379</v>
      </c>
      <c r="I602" s="28" t="str">
        <f aca="false">INDEX(Campaigns!$C$2:$C$31,MATCH(B602,Campaigns!$A$2:$A$31,0))</f>
        <v>WhatsApp Broadcast</v>
      </c>
      <c r="J602" s="40" t="n">
        <f aca="false">DATE(YEAR(A602),MONTH(A602),1)</f>
        <v>46235</v>
      </c>
    </row>
    <row r="603" customFormat="false" ht="15" hidden="false" customHeight="false" outlineLevel="0" collapsed="false">
      <c r="A603" s="34" t="n">
        <v>46248</v>
      </c>
      <c r="B603" s="28" t="s">
        <v>134</v>
      </c>
      <c r="C603" s="35" t="n">
        <v>2490</v>
      </c>
      <c r="D603" s="35" t="n">
        <v>159</v>
      </c>
      <c r="E603" s="35" t="n">
        <v>10</v>
      </c>
      <c r="F603" s="35" t="n">
        <v>6</v>
      </c>
      <c r="G603" s="35" t="n">
        <v>14940</v>
      </c>
      <c r="H603" s="35" t="n">
        <v>3361</v>
      </c>
      <c r="I603" s="28" t="str">
        <f aca="false">INDEX(Campaigns!$C$2:$C$31,MATCH(B603,Campaigns!$A$2:$A$31,0))</f>
        <v>WhatsApp Broadcast</v>
      </c>
      <c r="J603" s="40" t="n">
        <f aca="false">DATE(YEAR(A603),MONTH(A603),1)</f>
        <v>46235</v>
      </c>
    </row>
    <row r="604" customFormat="false" ht="15" hidden="false" customHeight="false" outlineLevel="0" collapsed="false">
      <c r="A604" s="34" t="n">
        <v>46248</v>
      </c>
      <c r="B604" s="28" t="s">
        <v>136</v>
      </c>
      <c r="C604" s="35" t="n">
        <v>11631</v>
      </c>
      <c r="D604" s="35" t="n">
        <v>329</v>
      </c>
      <c r="E604" s="35" t="n">
        <v>16</v>
      </c>
      <c r="F604" s="35" t="n">
        <v>13</v>
      </c>
      <c r="G604" s="35" t="n">
        <v>40790</v>
      </c>
      <c r="H604" s="35" t="n">
        <v>4160</v>
      </c>
      <c r="I604" s="28" t="str">
        <f aca="false">INDEX(Campaigns!$C$2:$C$31,MATCH(B604,Campaigns!$A$2:$A$31,0))</f>
        <v>Email</v>
      </c>
      <c r="J604" s="40" t="n">
        <f aca="false">DATE(YEAR(A604),MONTH(A604),1)</f>
        <v>46235</v>
      </c>
    </row>
    <row r="605" customFormat="false" ht="15" hidden="false" customHeight="false" outlineLevel="0" collapsed="false">
      <c r="A605" s="34" t="n">
        <v>46248</v>
      </c>
      <c r="B605" s="28" t="s">
        <v>139</v>
      </c>
      <c r="C605" s="35" t="n">
        <v>17263</v>
      </c>
      <c r="D605" s="35" t="n">
        <v>184</v>
      </c>
      <c r="E605" s="35" t="n">
        <v>10</v>
      </c>
      <c r="F605" s="35" t="n">
        <v>0</v>
      </c>
      <c r="G605" s="35" t="n">
        <v>0</v>
      </c>
      <c r="H605" s="35" t="n">
        <v>3220</v>
      </c>
      <c r="I605" s="28" t="str">
        <f aca="false">INDEX(Campaigns!$C$2:$C$31,MATCH(B605,Campaigns!$A$2:$A$31,0))</f>
        <v>TikTok Ads</v>
      </c>
      <c r="J605" s="40" t="n">
        <f aca="false">DATE(YEAR(A605),MONTH(A605),1)</f>
        <v>46235</v>
      </c>
    </row>
    <row r="606" customFormat="false" ht="15" hidden="false" customHeight="false" outlineLevel="0" collapsed="false">
      <c r="A606" s="34" t="n">
        <v>46248</v>
      </c>
      <c r="B606" s="28" t="s">
        <v>141</v>
      </c>
      <c r="C606" s="35" t="n">
        <v>8282</v>
      </c>
      <c r="D606" s="35" t="n">
        <v>284</v>
      </c>
      <c r="E606" s="35" t="n">
        <v>13</v>
      </c>
      <c r="F606" s="35" t="n">
        <v>10</v>
      </c>
      <c r="G606" s="35" t="n">
        <v>28950</v>
      </c>
      <c r="H606" s="35" t="n">
        <v>3014</v>
      </c>
      <c r="I606" s="28" t="str">
        <f aca="false">INDEX(Campaigns!$C$2:$C$31,MATCH(B606,Campaigns!$A$2:$A$31,0))</f>
        <v>Email</v>
      </c>
      <c r="J606" s="40" t="n">
        <f aca="false">DATE(YEAR(A606),MONTH(A606),1)</f>
        <v>46235</v>
      </c>
    </row>
    <row r="607" customFormat="false" ht="15" hidden="false" customHeight="false" outlineLevel="0" collapsed="false">
      <c r="A607" s="34" t="n">
        <v>46248</v>
      </c>
      <c r="B607" s="28" t="s">
        <v>145</v>
      </c>
      <c r="C607" s="35" t="n">
        <v>7519</v>
      </c>
      <c r="D607" s="35" t="n">
        <v>370</v>
      </c>
      <c r="E607" s="35" t="n">
        <v>8</v>
      </c>
      <c r="F607" s="35" t="n">
        <v>20</v>
      </c>
      <c r="G607" s="35" t="n">
        <v>74480</v>
      </c>
      <c r="H607" s="35" t="n">
        <v>6833</v>
      </c>
      <c r="I607" s="28" t="str">
        <f aca="false">INDEX(Campaigns!$C$2:$C$31,MATCH(B607,Campaigns!$A$2:$A$31,0))</f>
        <v>Google Search Ads</v>
      </c>
      <c r="J607" s="40" t="n">
        <f aca="false">DATE(YEAR(A607),MONTH(A607),1)</f>
        <v>46235</v>
      </c>
    </row>
    <row r="608" customFormat="false" ht="15" hidden="false" customHeight="false" outlineLevel="0" collapsed="false">
      <c r="A608" s="34" t="n">
        <v>46248</v>
      </c>
      <c r="B608" s="28" t="s">
        <v>147</v>
      </c>
      <c r="C608" s="35" t="n">
        <v>26548</v>
      </c>
      <c r="D608" s="35" t="n">
        <v>378</v>
      </c>
      <c r="E608" s="35" t="n">
        <v>10</v>
      </c>
      <c r="F608" s="35" t="n">
        <v>0</v>
      </c>
      <c r="G608" s="35" t="n">
        <v>0</v>
      </c>
      <c r="H608" s="35" t="n">
        <v>7227</v>
      </c>
      <c r="I608" s="28" t="str">
        <f aca="false">INDEX(Campaigns!$C$2:$C$31,MATCH(B608,Campaigns!$A$2:$A$31,0))</f>
        <v>Facebook &amp; Instagram Ads</v>
      </c>
      <c r="J608" s="40" t="n">
        <f aca="false">DATE(YEAR(A608),MONTH(A608),1)</f>
        <v>46235</v>
      </c>
    </row>
    <row r="609" customFormat="false" ht="15" hidden="false" customHeight="false" outlineLevel="0" collapsed="false">
      <c r="A609" s="34" t="n">
        <v>46248</v>
      </c>
      <c r="B609" s="28" t="s">
        <v>152</v>
      </c>
      <c r="C609" s="35" t="n">
        <v>9090</v>
      </c>
      <c r="D609" s="35" t="n">
        <v>79</v>
      </c>
      <c r="E609" s="35" t="n">
        <v>2</v>
      </c>
      <c r="F609" s="35" t="n">
        <v>3</v>
      </c>
      <c r="G609" s="35" t="n">
        <v>10290</v>
      </c>
      <c r="H609" s="35" t="n">
        <v>5527</v>
      </c>
      <c r="I609" s="28" t="str">
        <f aca="false">INDEX(Campaigns!$C$2:$C$31,MATCH(B609,Campaigns!$A$2:$A$31,0))</f>
        <v>Influencer Partnerships</v>
      </c>
      <c r="J609" s="40" t="n">
        <f aca="false">DATE(YEAR(A609),MONTH(A609),1)</f>
        <v>46235</v>
      </c>
    </row>
    <row r="610" customFormat="false" ht="15" hidden="false" customHeight="false" outlineLevel="0" collapsed="false">
      <c r="A610" s="34" t="n">
        <v>46248</v>
      </c>
      <c r="B610" s="28" t="s">
        <v>154</v>
      </c>
      <c r="C610" s="35" t="n">
        <v>6051</v>
      </c>
      <c r="D610" s="35" t="n">
        <v>57</v>
      </c>
      <c r="E610" s="35" t="n">
        <v>2</v>
      </c>
      <c r="F610" s="35" t="n">
        <v>1</v>
      </c>
      <c r="G610" s="35" t="n">
        <v>4870</v>
      </c>
      <c r="H610" s="35" t="n">
        <v>3613</v>
      </c>
      <c r="I610" s="28" t="str">
        <f aca="false">INDEX(Campaigns!$C$2:$C$31,MATCH(B610,Campaigns!$A$2:$A$31,0))</f>
        <v>Influencer Partnerships</v>
      </c>
      <c r="J610" s="40" t="n">
        <f aca="false">DATE(YEAR(A610),MONTH(A610),1)</f>
        <v>46235</v>
      </c>
    </row>
    <row r="611" customFormat="false" ht="15" hidden="false" customHeight="false" outlineLevel="0" collapsed="false">
      <c r="A611" s="34" t="n">
        <v>46248</v>
      </c>
      <c r="B611" s="28" t="s">
        <v>156</v>
      </c>
      <c r="C611" s="35" t="n">
        <v>40403</v>
      </c>
      <c r="D611" s="35" t="n">
        <v>359</v>
      </c>
      <c r="E611" s="35" t="n">
        <v>50</v>
      </c>
      <c r="F611" s="35" t="n">
        <v>6</v>
      </c>
      <c r="G611" s="35" t="n">
        <v>15530</v>
      </c>
      <c r="H611" s="35" t="n">
        <v>7981</v>
      </c>
      <c r="I611" s="28" t="str">
        <f aca="false">INDEX(Campaigns!$C$2:$C$31,MATCH(B611,Campaigns!$A$2:$A$31,0))</f>
        <v>TikTok Ads</v>
      </c>
      <c r="J611" s="40" t="n">
        <f aca="false">DATE(YEAR(A611),MONTH(A611),1)</f>
        <v>46235</v>
      </c>
    </row>
    <row r="612" customFormat="false" ht="15" hidden="false" customHeight="false" outlineLevel="0" collapsed="false">
      <c r="A612" s="34" t="n">
        <v>46248</v>
      </c>
      <c r="B612" s="28" t="s">
        <v>158</v>
      </c>
      <c r="C612" s="35" t="n">
        <v>18317</v>
      </c>
      <c r="D612" s="35" t="n">
        <v>159</v>
      </c>
      <c r="E612" s="35" t="n">
        <v>28</v>
      </c>
      <c r="F612" s="35" t="n">
        <v>1</v>
      </c>
      <c r="G612" s="35" t="n">
        <v>2840</v>
      </c>
      <c r="H612" s="35" t="n">
        <v>10358</v>
      </c>
      <c r="I612" s="28" t="str">
        <f aca="false">INDEX(Campaigns!$C$2:$C$31,MATCH(B612,Campaigns!$A$2:$A$31,0))</f>
        <v>Influencer Partnerships</v>
      </c>
      <c r="J612" s="40" t="n">
        <f aca="false">DATE(YEAR(A612),MONTH(A612),1)</f>
        <v>46235</v>
      </c>
    </row>
    <row r="613" customFormat="false" ht="15" hidden="false" customHeight="false" outlineLevel="0" collapsed="false">
      <c r="A613" s="34" t="n">
        <v>46248</v>
      </c>
      <c r="B613" s="28" t="s">
        <v>159</v>
      </c>
      <c r="C613" s="35" t="n">
        <v>29770</v>
      </c>
      <c r="D613" s="35" t="n">
        <v>440</v>
      </c>
      <c r="E613" s="35" t="n">
        <v>58</v>
      </c>
      <c r="F613" s="35" t="n">
        <v>5</v>
      </c>
      <c r="G613" s="35" t="n">
        <v>16250</v>
      </c>
      <c r="H613" s="35" t="n">
        <v>7893</v>
      </c>
      <c r="I613" s="28" t="str">
        <f aca="false">INDEX(Campaigns!$C$2:$C$31,MATCH(B613,Campaigns!$A$2:$A$31,0))</f>
        <v>Facebook &amp; Instagram Ads</v>
      </c>
      <c r="J613" s="40" t="n">
        <f aca="false">DATE(YEAR(A613),MONTH(A613),1)</f>
        <v>46235</v>
      </c>
    </row>
    <row r="614" customFormat="false" ht="15" hidden="false" customHeight="false" outlineLevel="0" collapsed="false">
      <c r="A614" s="34" t="n">
        <v>46248</v>
      </c>
      <c r="B614" s="28" t="s">
        <v>161</v>
      </c>
      <c r="C614" s="35" t="n">
        <v>45363</v>
      </c>
      <c r="D614" s="35" t="n">
        <v>597</v>
      </c>
      <c r="E614" s="35" t="n">
        <v>14</v>
      </c>
      <c r="F614" s="35" t="n">
        <v>2</v>
      </c>
      <c r="G614" s="35" t="n">
        <v>6670</v>
      </c>
      <c r="H614" s="35" t="n">
        <v>11162</v>
      </c>
      <c r="I614" s="28" t="str">
        <f aca="false">INDEX(Campaigns!$C$2:$C$31,MATCH(B614,Campaigns!$A$2:$A$31,0))</f>
        <v>Facebook &amp; Instagram Ads</v>
      </c>
      <c r="J614" s="40" t="n">
        <f aca="false">DATE(YEAR(A614),MONTH(A614),1)</f>
        <v>46235</v>
      </c>
    </row>
    <row r="615" customFormat="false" ht="15" hidden="false" customHeight="false" outlineLevel="0" collapsed="false">
      <c r="A615" s="34" t="n">
        <v>46248</v>
      </c>
      <c r="B615" s="28" t="s">
        <v>163</v>
      </c>
      <c r="C615" s="35" t="n">
        <v>1454</v>
      </c>
      <c r="D615" s="35" t="n">
        <v>45</v>
      </c>
      <c r="E615" s="35" t="n">
        <v>2</v>
      </c>
      <c r="F615" s="35" t="n">
        <v>1</v>
      </c>
      <c r="G615" s="35" t="n">
        <v>2940</v>
      </c>
      <c r="H615" s="35" t="n">
        <v>496</v>
      </c>
      <c r="I615" s="28" t="str">
        <f aca="false">INDEX(Campaigns!$C$2:$C$31,MATCH(B615,Campaigns!$A$2:$A$31,0))</f>
        <v>Email</v>
      </c>
      <c r="J615" s="40" t="n">
        <f aca="false">DATE(YEAR(A615),MONTH(A615),1)</f>
        <v>46235</v>
      </c>
    </row>
    <row r="616" customFormat="false" ht="15" hidden="false" customHeight="false" outlineLevel="0" collapsed="false">
      <c r="A616" s="34" t="n">
        <v>46249</v>
      </c>
      <c r="B616" s="28" t="s">
        <v>105</v>
      </c>
      <c r="C616" s="35" t="n">
        <v>6050</v>
      </c>
      <c r="D616" s="35" t="n">
        <v>230</v>
      </c>
      <c r="E616" s="35" t="n">
        <v>12</v>
      </c>
      <c r="F616" s="35" t="n">
        <v>7</v>
      </c>
      <c r="G616" s="35" t="n">
        <v>26610</v>
      </c>
      <c r="H616" s="35" t="n">
        <v>5112</v>
      </c>
      <c r="I616" s="28" t="str">
        <f aca="false">INDEX(Campaigns!$C$2:$C$31,MATCH(B616,Campaigns!$A$2:$A$31,0))</f>
        <v>Google Search Ads</v>
      </c>
      <c r="J616" s="40" t="n">
        <f aca="false">DATE(YEAR(A616),MONTH(A616),1)</f>
        <v>46235</v>
      </c>
    </row>
    <row r="617" customFormat="false" ht="15" hidden="false" customHeight="false" outlineLevel="0" collapsed="false">
      <c r="A617" s="34" t="n">
        <v>46249</v>
      </c>
      <c r="B617" s="28" t="s">
        <v>114</v>
      </c>
      <c r="C617" s="35" t="n">
        <v>776</v>
      </c>
      <c r="D617" s="35" t="n">
        <v>53</v>
      </c>
      <c r="E617" s="35" t="n">
        <v>0</v>
      </c>
      <c r="F617" s="35" t="n">
        <v>3</v>
      </c>
      <c r="G617" s="35" t="n">
        <v>9030</v>
      </c>
      <c r="H617" s="35" t="n">
        <v>1174</v>
      </c>
      <c r="I617" s="28" t="str">
        <f aca="false">INDEX(Campaigns!$C$2:$C$31,MATCH(B617,Campaigns!$A$2:$A$31,0))</f>
        <v>WhatsApp Broadcast</v>
      </c>
      <c r="J617" s="40" t="n">
        <f aca="false">DATE(YEAR(A617),MONTH(A617),1)</f>
        <v>46235</v>
      </c>
    </row>
    <row r="618" customFormat="false" ht="15" hidden="false" customHeight="false" outlineLevel="0" collapsed="false">
      <c r="A618" s="34" t="n">
        <v>46249</v>
      </c>
      <c r="B618" s="28" t="s">
        <v>116</v>
      </c>
      <c r="C618" s="35" t="n">
        <v>29908</v>
      </c>
      <c r="D618" s="35" t="n">
        <v>381</v>
      </c>
      <c r="E618" s="35" t="n">
        <v>12</v>
      </c>
      <c r="F618" s="35" t="n">
        <v>7</v>
      </c>
      <c r="G618" s="35" t="n">
        <v>21110</v>
      </c>
      <c r="H618" s="35" t="n">
        <v>6974</v>
      </c>
      <c r="I618" s="28" t="str">
        <f aca="false">INDEX(Campaigns!$C$2:$C$31,MATCH(B618,Campaigns!$A$2:$A$31,0))</f>
        <v>Facebook &amp; Instagram Ads</v>
      </c>
      <c r="J618" s="40" t="n">
        <f aca="false">DATE(YEAR(A618),MONTH(A618),1)</f>
        <v>46235</v>
      </c>
    </row>
    <row r="619" customFormat="false" ht="15" hidden="false" customHeight="false" outlineLevel="0" collapsed="false">
      <c r="A619" s="34" t="n">
        <v>46249</v>
      </c>
      <c r="B619" s="28" t="s">
        <v>118</v>
      </c>
      <c r="C619" s="35" t="n">
        <v>3347</v>
      </c>
      <c r="D619" s="35" t="n">
        <v>188</v>
      </c>
      <c r="E619" s="35" t="n">
        <v>4</v>
      </c>
      <c r="F619" s="35" t="n">
        <v>8</v>
      </c>
      <c r="G619" s="35" t="n">
        <v>33930</v>
      </c>
      <c r="H619" s="35" t="n">
        <v>2870</v>
      </c>
      <c r="I619" s="28" t="str">
        <f aca="false">INDEX(Campaigns!$C$2:$C$31,MATCH(B619,Campaigns!$A$2:$A$31,0))</f>
        <v>Google Search Ads</v>
      </c>
      <c r="J619" s="40" t="n">
        <f aca="false">DATE(YEAR(A619),MONTH(A619),1)</f>
        <v>46235</v>
      </c>
    </row>
    <row r="620" customFormat="false" ht="15" hidden="false" customHeight="false" outlineLevel="0" collapsed="false">
      <c r="A620" s="34" t="n">
        <v>46249</v>
      </c>
      <c r="B620" s="28" t="s">
        <v>124</v>
      </c>
      <c r="C620" s="35" t="n">
        <v>7987</v>
      </c>
      <c r="D620" s="35" t="n">
        <v>171</v>
      </c>
      <c r="E620" s="35" t="n">
        <v>7</v>
      </c>
      <c r="F620" s="35" t="n">
        <v>4</v>
      </c>
      <c r="G620" s="35" t="n">
        <v>11070</v>
      </c>
      <c r="H620" s="35" t="n">
        <v>2968</v>
      </c>
      <c r="I620" s="28" t="str">
        <f aca="false">INDEX(Campaigns!$C$2:$C$31,MATCH(B620,Campaigns!$A$2:$A$31,0))</f>
        <v>Email</v>
      </c>
      <c r="J620" s="40" t="n">
        <f aca="false">DATE(YEAR(A620),MONTH(A620),1)</f>
        <v>46235</v>
      </c>
    </row>
    <row r="621" customFormat="false" ht="15" hidden="false" customHeight="false" outlineLevel="0" collapsed="false">
      <c r="A621" s="34" t="n">
        <v>46249</v>
      </c>
      <c r="B621" s="28" t="s">
        <v>126</v>
      </c>
      <c r="C621" s="35" t="n">
        <v>17003</v>
      </c>
      <c r="D621" s="35" t="n">
        <v>125</v>
      </c>
      <c r="E621" s="35" t="n">
        <v>7</v>
      </c>
      <c r="F621" s="35" t="n">
        <v>4</v>
      </c>
      <c r="G621" s="35" t="n">
        <v>8840</v>
      </c>
      <c r="H621" s="35" t="n">
        <v>3348</v>
      </c>
      <c r="I621" s="28" t="str">
        <f aca="false">INDEX(Campaigns!$C$2:$C$31,MATCH(B621,Campaigns!$A$2:$A$31,0))</f>
        <v>TikTok Ads</v>
      </c>
      <c r="J621" s="40" t="n">
        <f aca="false">DATE(YEAR(A621),MONTH(A621),1)</f>
        <v>46235</v>
      </c>
    </row>
    <row r="622" customFormat="false" ht="15" hidden="false" customHeight="false" outlineLevel="0" collapsed="false">
      <c r="A622" s="34" t="n">
        <v>46249</v>
      </c>
      <c r="B622" s="28" t="s">
        <v>130</v>
      </c>
      <c r="C622" s="35" t="n">
        <v>3703</v>
      </c>
      <c r="D622" s="35" t="n">
        <v>322</v>
      </c>
      <c r="E622" s="35" t="n">
        <v>10</v>
      </c>
      <c r="F622" s="35" t="n">
        <v>40</v>
      </c>
      <c r="G622" s="35" t="n">
        <v>114670</v>
      </c>
      <c r="H622" s="35" t="n">
        <v>4739</v>
      </c>
      <c r="I622" s="28" t="str">
        <f aca="false">INDEX(Campaigns!$C$2:$C$31,MATCH(B622,Campaigns!$A$2:$A$31,0))</f>
        <v>WhatsApp Broadcast</v>
      </c>
      <c r="J622" s="40" t="n">
        <f aca="false">DATE(YEAR(A622),MONTH(A622),1)</f>
        <v>46235</v>
      </c>
    </row>
    <row r="623" customFormat="false" ht="15" hidden="false" customHeight="false" outlineLevel="0" collapsed="false">
      <c r="A623" s="34" t="n">
        <v>46249</v>
      </c>
      <c r="B623" s="28" t="s">
        <v>134</v>
      </c>
      <c r="C623" s="35" t="n">
        <v>3101</v>
      </c>
      <c r="D623" s="35" t="n">
        <v>193</v>
      </c>
      <c r="E623" s="35" t="n">
        <v>6</v>
      </c>
      <c r="F623" s="35" t="n">
        <v>15</v>
      </c>
      <c r="G623" s="35" t="n">
        <v>41640</v>
      </c>
      <c r="H623" s="35" t="n">
        <v>4008</v>
      </c>
      <c r="I623" s="28" t="str">
        <f aca="false">INDEX(Campaigns!$C$2:$C$31,MATCH(B623,Campaigns!$A$2:$A$31,0))</f>
        <v>WhatsApp Broadcast</v>
      </c>
      <c r="J623" s="40" t="n">
        <f aca="false">DATE(YEAR(A623),MONTH(A623),1)</f>
        <v>46235</v>
      </c>
    </row>
    <row r="624" customFormat="false" ht="15" hidden="false" customHeight="false" outlineLevel="0" collapsed="false">
      <c r="A624" s="34" t="n">
        <v>46249</v>
      </c>
      <c r="B624" s="28" t="s">
        <v>136</v>
      </c>
      <c r="C624" s="35" t="n">
        <v>14391</v>
      </c>
      <c r="D624" s="35" t="n">
        <v>411</v>
      </c>
      <c r="E624" s="35" t="n">
        <v>18</v>
      </c>
      <c r="F624" s="35" t="n">
        <v>15</v>
      </c>
      <c r="G624" s="35" t="n">
        <v>46420</v>
      </c>
      <c r="H624" s="35" t="n">
        <v>5017</v>
      </c>
      <c r="I624" s="28" t="str">
        <f aca="false">INDEX(Campaigns!$C$2:$C$31,MATCH(B624,Campaigns!$A$2:$A$31,0))</f>
        <v>Email</v>
      </c>
      <c r="J624" s="40" t="n">
        <f aca="false">DATE(YEAR(A624),MONTH(A624),1)</f>
        <v>46235</v>
      </c>
    </row>
    <row r="625" customFormat="false" ht="15" hidden="false" customHeight="false" outlineLevel="0" collapsed="false">
      <c r="A625" s="34" t="n">
        <v>46249</v>
      </c>
      <c r="B625" s="28" t="s">
        <v>139</v>
      </c>
      <c r="C625" s="35" t="n">
        <v>15414</v>
      </c>
      <c r="D625" s="35" t="n">
        <v>138</v>
      </c>
      <c r="E625" s="35" t="n">
        <v>9</v>
      </c>
      <c r="F625" s="35" t="n">
        <v>0</v>
      </c>
      <c r="G625" s="35" t="n">
        <v>0</v>
      </c>
      <c r="H625" s="35" t="n">
        <v>2856</v>
      </c>
      <c r="I625" s="28" t="str">
        <f aca="false">INDEX(Campaigns!$C$2:$C$31,MATCH(B625,Campaigns!$A$2:$A$31,0))</f>
        <v>TikTok Ads</v>
      </c>
      <c r="J625" s="40" t="n">
        <f aca="false">DATE(YEAR(A625),MONTH(A625),1)</f>
        <v>46235</v>
      </c>
    </row>
    <row r="626" customFormat="false" ht="15" hidden="false" customHeight="false" outlineLevel="0" collapsed="false">
      <c r="A626" s="34" t="n">
        <v>46249</v>
      </c>
      <c r="B626" s="28" t="s">
        <v>141</v>
      </c>
      <c r="C626" s="35" t="n">
        <v>7526</v>
      </c>
      <c r="D626" s="35" t="n">
        <v>254</v>
      </c>
      <c r="E626" s="35" t="n">
        <v>15</v>
      </c>
      <c r="F626" s="35" t="n">
        <v>8</v>
      </c>
      <c r="G626" s="35" t="n">
        <v>23770</v>
      </c>
      <c r="H626" s="35" t="n">
        <v>2654</v>
      </c>
      <c r="I626" s="28" t="str">
        <f aca="false">INDEX(Campaigns!$C$2:$C$31,MATCH(B626,Campaigns!$A$2:$A$31,0))</f>
        <v>Email</v>
      </c>
      <c r="J626" s="40" t="n">
        <f aca="false">DATE(YEAR(A626),MONTH(A626),1)</f>
        <v>46235</v>
      </c>
    </row>
    <row r="627" customFormat="false" ht="15" hidden="false" customHeight="false" outlineLevel="0" collapsed="false">
      <c r="A627" s="34" t="n">
        <v>46249</v>
      </c>
      <c r="B627" s="28" t="s">
        <v>145</v>
      </c>
      <c r="C627" s="35" t="n">
        <v>8404</v>
      </c>
      <c r="D627" s="35" t="n">
        <v>413</v>
      </c>
      <c r="E627" s="35" t="n">
        <v>20</v>
      </c>
      <c r="F627" s="35" t="n">
        <v>21</v>
      </c>
      <c r="G627" s="35" t="n">
        <v>82280</v>
      </c>
      <c r="H627" s="35" t="n">
        <v>7611</v>
      </c>
      <c r="I627" s="28" t="str">
        <f aca="false">INDEX(Campaigns!$C$2:$C$31,MATCH(B627,Campaigns!$A$2:$A$31,0))</f>
        <v>Google Search Ads</v>
      </c>
      <c r="J627" s="40" t="n">
        <f aca="false">DATE(YEAR(A627),MONTH(A627),1)</f>
        <v>46235</v>
      </c>
    </row>
    <row r="628" customFormat="false" ht="15" hidden="false" customHeight="false" outlineLevel="0" collapsed="false">
      <c r="A628" s="34" t="n">
        <v>46249</v>
      </c>
      <c r="B628" s="28" t="s">
        <v>147</v>
      </c>
      <c r="C628" s="35" t="n">
        <v>24849</v>
      </c>
      <c r="D628" s="35" t="n">
        <v>357</v>
      </c>
      <c r="E628" s="35" t="n">
        <v>8</v>
      </c>
      <c r="F628" s="35" t="n">
        <v>1</v>
      </c>
      <c r="G628" s="35" t="n">
        <v>4190</v>
      </c>
      <c r="H628" s="35" t="n">
        <v>5655</v>
      </c>
      <c r="I628" s="28" t="str">
        <f aca="false">INDEX(Campaigns!$C$2:$C$31,MATCH(B628,Campaigns!$A$2:$A$31,0))</f>
        <v>Facebook &amp; Instagram Ads</v>
      </c>
      <c r="J628" s="40" t="n">
        <f aca="false">DATE(YEAR(A628),MONTH(A628),1)</f>
        <v>46235</v>
      </c>
    </row>
    <row r="629" customFormat="false" ht="15" hidden="false" customHeight="false" outlineLevel="0" collapsed="false">
      <c r="A629" s="34" t="n">
        <v>46249</v>
      </c>
      <c r="B629" s="28" t="s">
        <v>152</v>
      </c>
      <c r="C629" s="35" t="n">
        <v>7274</v>
      </c>
      <c r="D629" s="35" t="n">
        <v>61</v>
      </c>
      <c r="E629" s="35" t="n">
        <v>0</v>
      </c>
      <c r="F629" s="35" t="n">
        <v>2</v>
      </c>
      <c r="G629" s="35" t="n">
        <v>8440</v>
      </c>
      <c r="H629" s="35" t="n">
        <v>4271</v>
      </c>
      <c r="I629" s="28" t="str">
        <f aca="false">INDEX(Campaigns!$C$2:$C$31,MATCH(B629,Campaigns!$A$2:$A$31,0))</f>
        <v>Influencer Partnerships</v>
      </c>
      <c r="J629" s="40" t="n">
        <f aca="false">DATE(YEAR(A629),MONTH(A629),1)</f>
        <v>46235</v>
      </c>
    </row>
    <row r="630" customFormat="false" ht="15" hidden="false" customHeight="false" outlineLevel="0" collapsed="false">
      <c r="A630" s="34" t="n">
        <v>46249</v>
      </c>
      <c r="B630" s="28" t="s">
        <v>154</v>
      </c>
      <c r="C630" s="35" t="n">
        <v>5861</v>
      </c>
      <c r="D630" s="35" t="n">
        <v>54</v>
      </c>
      <c r="E630" s="35" t="n">
        <v>1</v>
      </c>
      <c r="F630" s="35" t="n">
        <v>1</v>
      </c>
      <c r="G630" s="35" t="n">
        <v>3100</v>
      </c>
      <c r="H630" s="35" t="n">
        <v>3758</v>
      </c>
      <c r="I630" s="28" t="str">
        <f aca="false">INDEX(Campaigns!$C$2:$C$31,MATCH(B630,Campaigns!$A$2:$A$31,0))</f>
        <v>Influencer Partnerships</v>
      </c>
      <c r="J630" s="40" t="n">
        <f aca="false">DATE(YEAR(A630),MONTH(A630),1)</f>
        <v>46235</v>
      </c>
    </row>
    <row r="631" customFormat="false" ht="15" hidden="false" customHeight="false" outlineLevel="0" collapsed="false">
      <c r="A631" s="34" t="n">
        <v>46249</v>
      </c>
      <c r="B631" s="28" t="s">
        <v>156</v>
      </c>
      <c r="C631" s="35" t="n">
        <v>42085</v>
      </c>
      <c r="D631" s="35" t="n">
        <v>379</v>
      </c>
      <c r="E631" s="35" t="n">
        <v>45</v>
      </c>
      <c r="F631" s="35" t="n">
        <v>6</v>
      </c>
      <c r="G631" s="35" t="n">
        <v>14870</v>
      </c>
      <c r="H631" s="35" t="n">
        <v>7592</v>
      </c>
      <c r="I631" s="28" t="str">
        <f aca="false">INDEX(Campaigns!$C$2:$C$31,MATCH(B631,Campaigns!$A$2:$A$31,0))</f>
        <v>TikTok Ads</v>
      </c>
      <c r="J631" s="40" t="n">
        <f aca="false">DATE(YEAR(A631),MONTH(A631),1)</f>
        <v>46235</v>
      </c>
    </row>
    <row r="632" customFormat="false" ht="15" hidden="false" customHeight="false" outlineLevel="0" collapsed="false">
      <c r="A632" s="34" t="n">
        <v>46249</v>
      </c>
      <c r="B632" s="28" t="s">
        <v>158</v>
      </c>
      <c r="C632" s="35" t="n">
        <v>17850</v>
      </c>
      <c r="D632" s="35" t="n">
        <v>186</v>
      </c>
      <c r="E632" s="35" t="n">
        <v>27</v>
      </c>
      <c r="F632" s="35" t="n">
        <v>2</v>
      </c>
      <c r="G632" s="35" t="n">
        <v>7980</v>
      </c>
      <c r="H632" s="35" t="n">
        <v>11190</v>
      </c>
      <c r="I632" s="28" t="str">
        <f aca="false">INDEX(Campaigns!$C$2:$C$31,MATCH(B632,Campaigns!$A$2:$A$31,0))</f>
        <v>Influencer Partnerships</v>
      </c>
      <c r="J632" s="40" t="n">
        <f aca="false">DATE(YEAR(A632),MONTH(A632),1)</f>
        <v>46235</v>
      </c>
    </row>
    <row r="633" customFormat="false" ht="15" hidden="false" customHeight="false" outlineLevel="0" collapsed="false">
      <c r="A633" s="34" t="n">
        <v>46249</v>
      </c>
      <c r="B633" s="28" t="s">
        <v>159</v>
      </c>
      <c r="C633" s="35" t="n">
        <v>29381</v>
      </c>
      <c r="D633" s="35" t="n">
        <v>407</v>
      </c>
      <c r="E633" s="35" t="n">
        <v>62</v>
      </c>
      <c r="F633" s="35" t="n">
        <v>10</v>
      </c>
      <c r="G633" s="35" t="n">
        <v>31360</v>
      </c>
      <c r="H633" s="35" t="n">
        <v>7090</v>
      </c>
      <c r="I633" s="28" t="str">
        <f aca="false">INDEX(Campaigns!$C$2:$C$31,MATCH(B633,Campaigns!$A$2:$A$31,0))</f>
        <v>Facebook &amp; Instagram Ads</v>
      </c>
      <c r="J633" s="40" t="n">
        <f aca="false">DATE(YEAR(A633),MONTH(A633),1)</f>
        <v>46235</v>
      </c>
    </row>
    <row r="634" customFormat="false" ht="15" hidden="false" customHeight="false" outlineLevel="0" collapsed="false">
      <c r="A634" s="34" t="n">
        <v>46249</v>
      </c>
      <c r="B634" s="28" t="s">
        <v>161</v>
      </c>
      <c r="C634" s="35" t="n">
        <v>45709</v>
      </c>
      <c r="D634" s="35" t="n">
        <v>596</v>
      </c>
      <c r="E634" s="35" t="n">
        <v>7</v>
      </c>
      <c r="F634" s="35" t="n">
        <v>0</v>
      </c>
      <c r="G634" s="35" t="n">
        <v>0</v>
      </c>
      <c r="H634" s="35" t="n">
        <v>10750</v>
      </c>
      <c r="I634" s="28" t="str">
        <f aca="false">INDEX(Campaigns!$C$2:$C$31,MATCH(B634,Campaigns!$A$2:$A$31,0))</f>
        <v>Facebook &amp; Instagram Ads</v>
      </c>
      <c r="J634" s="40" t="n">
        <f aca="false">DATE(YEAR(A634),MONTH(A634),1)</f>
        <v>46235</v>
      </c>
    </row>
    <row r="635" customFormat="false" ht="15" hidden="false" customHeight="false" outlineLevel="0" collapsed="false">
      <c r="A635" s="34" t="n">
        <v>46249</v>
      </c>
      <c r="B635" s="28" t="s">
        <v>163</v>
      </c>
      <c r="C635" s="35" t="n">
        <v>1722</v>
      </c>
      <c r="D635" s="35" t="n">
        <v>59</v>
      </c>
      <c r="E635" s="35" t="n">
        <v>1</v>
      </c>
      <c r="F635" s="35" t="n">
        <v>2</v>
      </c>
      <c r="G635" s="35" t="n">
        <v>4760</v>
      </c>
      <c r="H635" s="35" t="n">
        <v>628</v>
      </c>
      <c r="I635" s="28" t="str">
        <f aca="false">INDEX(Campaigns!$C$2:$C$31,MATCH(B635,Campaigns!$A$2:$A$31,0))</f>
        <v>Email</v>
      </c>
      <c r="J635" s="40" t="n">
        <f aca="false">DATE(YEAR(A635),MONTH(A635),1)</f>
        <v>46235</v>
      </c>
    </row>
    <row r="636" customFormat="false" ht="15" hidden="false" customHeight="false" outlineLevel="0" collapsed="false">
      <c r="A636" s="34" t="n">
        <v>46250</v>
      </c>
      <c r="B636" s="28" t="s">
        <v>105</v>
      </c>
      <c r="C636" s="35" t="n">
        <v>5473</v>
      </c>
      <c r="D636" s="35" t="n">
        <v>221</v>
      </c>
      <c r="E636" s="35" t="n">
        <v>17</v>
      </c>
      <c r="F636" s="35" t="n">
        <v>7</v>
      </c>
      <c r="G636" s="35" t="n">
        <v>29350</v>
      </c>
      <c r="H636" s="35" t="n">
        <v>4986</v>
      </c>
      <c r="I636" s="28" t="str">
        <f aca="false">INDEX(Campaigns!$C$2:$C$31,MATCH(B636,Campaigns!$A$2:$A$31,0))</f>
        <v>Google Search Ads</v>
      </c>
      <c r="J636" s="40" t="n">
        <f aca="false">DATE(YEAR(A636),MONTH(A636),1)</f>
        <v>46235</v>
      </c>
    </row>
    <row r="637" customFormat="false" ht="15" hidden="false" customHeight="false" outlineLevel="0" collapsed="false">
      <c r="A637" s="34" t="n">
        <v>46250</v>
      </c>
      <c r="B637" s="28" t="s">
        <v>108</v>
      </c>
      <c r="C637" s="35" t="n">
        <v>6776</v>
      </c>
      <c r="D637" s="35" t="n">
        <v>227</v>
      </c>
      <c r="E637" s="35" t="n">
        <v>9</v>
      </c>
      <c r="F637" s="35" t="n">
        <v>12</v>
      </c>
      <c r="G637" s="35" t="n">
        <v>39180</v>
      </c>
      <c r="H637" s="35" t="n">
        <v>2310</v>
      </c>
      <c r="I637" s="28" t="str">
        <f aca="false">INDEX(Campaigns!$C$2:$C$31,MATCH(B637,Campaigns!$A$2:$A$31,0))</f>
        <v>Email</v>
      </c>
      <c r="J637" s="40" t="n">
        <f aca="false">DATE(YEAR(A637),MONTH(A637),1)</f>
        <v>46235</v>
      </c>
    </row>
    <row r="638" customFormat="false" ht="15" hidden="false" customHeight="false" outlineLevel="0" collapsed="false">
      <c r="A638" s="34" t="n">
        <v>46250</v>
      </c>
      <c r="B638" s="28" t="s">
        <v>114</v>
      </c>
      <c r="C638" s="35" t="n">
        <v>810</v>
      </c>
      <c r="D638" s="35" t="n">
        <v>36</v>
      </c>
      <c r="E638" s="35" t="n">
        <v>3</v>
      </c>
      <c r="F638" s="35" t="n">
        <v>2</v>
      </c>
      <c r="G638" s="35" t="n">
        <v>7090</v>
      </c>
      <c r="H638" s="35" t="n">
        <v>1166</v>
      </c>
      <c r="I638" s="28" t="str">
        <f aca="false">INDEX(Campaigns!$C$2:$C$31,MATCH(B638,Campaigns!$A$2:$A$31,0))</f>
        <v>WhatsApp Broadcast</v>
      </c>
      <c r="J638" s="40" t="n">
        <f aca="false">DATE(YEAR(A638),MONTH(A638),1)</f>
        <v>46235</v>
      </c>
    </row>
    <row r="639" customFormat="false" ht="15" hidden="false" customHeight="false" outlineLevel="0" collapsed="false">
      <c r="A639" s="34" t="n">
        <v>46250</v>
      </c>
      <c r="B639" s="28" t="s">
        <v>116</v>
      </c>
      <c r="C639" s="35" t="n">
        <v>24195</v>
      </c>
      <c r="D639" s="35" t="n">
        <v>313</v>
      </c>
      <c r="E639" s="35" t="n">
        <v>19</v>
      </c>
      <c r="F639" s="35" t="n">
        <v>3</v>
      </c>
      <c r="G639" s="35" t="n">
        <v>9280</v>
      </c>
      <c r="H639" s="35" t="n">
        <v>5773</v>
      </c>
      <c r="I639" s="28" t="str">
        <f aca="false">INDEX(Campaigns!$C$2:$C$31,MATCH(B639,Campaigns!$A$2:$A$31,0))</f>
        <v>Facebook &amp; Instagram Ads</v>
      </c>
      <c r="J639" s="40" t="n">
        <f aca="false">DATE(YEAR(A639),MONTH(A639),1)</f>
        <v>46235</v>
      </c>
    </row>
    <row r="640" customFormat="false" ht="15" hidden="false" customHeight="false" outlineLevel="0" collapsed="false">
      <c r="A640" s="34" t="n">
        <v>46250</v>
      </c>
      <c r="B640" s="28" t="s">
        <v>118</v>
      </c>
      <c r="C640" s="35" t="n">
        <v>3051</v>
      </c>
      <c r="D640" s="35" t="n">
        <v>166</v>
      </c>
      <c r="E640" s="35" t="n">
        <v>7</v>
      </c>
      <c r="F640" s="35" t="n">
        <v>7</v>
      </c>
      <c r="G640" s="35" t="n">
        <v>25750</v>
      </c>
      <c r="H640" s="35" t="n">
        <v>2970</v>
      </c>
      <c r="I640" s="28" t="str">
        <f aca="false">INDEX(Campaigns!$C$2:$C$31,MATCH(B640,Campaigns!$A$2:$A$31,0))</f>
        <v>Google Search Ads</v>
      </c>
      <c r="J640" s="40" t="n">
        <f aca="false">DATE(YEAR(A640),MONTH(A640),1)</f>
        <v>46235</v>
      </c>
    </row>
    <row r="641" customFormat="false" ht="15" hidden="false" customHeight="false" outlineLevel="0" collapsed="false">
      <c r="A641" s="34" t="n">
        <v>46250</v>
      </c>
      <c r="B641" s="28" t="s">
        <v>124</v>
      </c>
      <c r="C641" s="35" t="n">
        <v>6449</v>
      </c>
      <c r="D641" s="35" t="n">
        <v>140</v>
      </c>
      <c r="E641" s="35" t="n">
        <v>6</v>
      </c>
      <c r="F641" s="35" t="n">
        <v>3</v>
      </c>
      <c r="G641" s="35" t="n">
        <v>6950</v>
      </c>
      <c r="H641" s="35" t="n">
        <v>2438</v>
      </c>
      <c r="I641" s="28" t="str">
        <f aca="false">INDEX(Campaigns!$C$2:$C$31,MATCH(B641,Campaigns!$A$2:$A$31,0))</f>
        <v>Email</v>
      </c>
      <c r="J641" s="40" t="n">
        <f aca="false">DATE(YEAR(A641),MONTH(A641),1)</f>
        <v>46235</v>
      </c>
    </row>
    <row r="642" customFormat="false" ht="15" hidden="false" customHeight="false" outlineLevel="0" collapsed="false">
      <c r="A642" s="34" t="n">
        <v>46250</v>
      </c>
      <c r="B642" s="28" t="s">
        <v>130</v>
      </c>
      <c r="C642" s="35" t="n">
        <v>3511</v>
      </c>
      <c r="D642" s="35" t="n">
        <v>314</v>
      </c>
      <c r="E642" s="35" t="n">
        <v>12</v>
      </c>
      <c r="F642" s="35" t="n">
        <v>38</v>
      </c>
      <c r="G642" s="35" t="n">
        <v>119310</v>
      </c>
      <c r="H642" s="35" t="n">
        <v>4565</v>
      </c>
      <c r="I642" s="28" t="str">
        <f aca="false">INDEX(Campaigns!$C$2:$C$31,MATCH(B642,Campaigns!$A$2:$A$31,0))</f>
        <v>WhatsApp Broadcast</v>
      </c>
      <c r="J642" s="40" t="n">
        <f aca="false">DATE(YEAR(A642),MONTH(A642),1)</f>
        <v>46235</v>
      </c>
    </row>
    <row r="643" customFormat="false" ht="15" hidden="false" customHeight="false" outlineLevel="0" collapsed="false">
      <c r="A643" s="34" t="n">
        <v>46250</v>
      </c>
      <c r="B643" s="28" t="s">
        <v>134</v>
      </c>
      <c r="C643" s="35" t="n">
        <v>2652</v>
      </c>
      <c r="D643" s="35" t="n">
        <v>174</v>
      </c>
      <c r="E643" s="35" t="n">
        <v>9</v>
      </c>
      <c r="F643" s="35" t="n">
        <v>12</v>
      </c>
      <c r="G643" s="35" t="n">
        <v>33980</v>
      </c>
      <c r="H643" s="35" t="n">
        <v>3695</v>
      </c>
      <c r="I643" s="28" t="str">
        <f aca="false">INDEX(Campaigns!$C$2:$C$31,MATCH(B643,Campaigns!$A$2:$A$31,0))</f>
        <v>WhatsApp Broadcast</v>
      </c>
      <c r="J643" s="40" t="n">
        <f aca="false">DATE(YEAR(A643),MONTH(A643),1)</f>
        <v>46235</v>
      </c>
    </row>
    <row r="644" customFormat="false" ht="15" hidden="false" customHeight="false" outlineLevel="0" collapsed="false">
      <c r="A644" s="34" t="n">
        <v>46250</v>
      </c>
      <c r="B644" s="28" t="s">
        <v>136</v>
      </c>
      <c r="C644" s="35" t="n">
        <v>15364</v>
      </c>
      <c r="D644" s="35" t="n">
        <v>455</v>
      </c>
      <c r="E644" s="35" t="n">
        <v>21</v>
      </c>
      <c r="F644" s="35" t="n">
        <v>6</v>
      </c>
      <c r="G644" s="35" t="n">
        <v>16760</v>
      </c>
      <c r="H644" s="35" t="n">
        <v>5051</v>
      </c>
      <c r="I644" s="28" t="str">
        <f aca="false">INDEX(Campaigns!$C$2:$C$31,MATCH(B644,Campaigns!$A$2:$A$31,0))</f>
        <v>Email</v>
      </c>
      <c r="J644" s="40" t="n">
        <f aca="false">DATE(YEAR(A644),MONTH(A644),1)</f>
        <v>46235</v>
      </c>
    </row>
    <row r="645" customFormat="false" ht="15" hidden="false" customHeight="false" outlineLevel="0" collapsed="false">
      <c r="A645" s="34" t="n">
        <v>46250</v>
      </c>
      <c r="B645" s="28" t="s">
        <v>139</v>
      </c>
      <c r="C645" s="35" t="n">
        <v>15073</v>
      </c>
      <c r="D645" s="35" t="n">
        <v>149</v>
      </c>
      <c r="E645" s="35" t="n">
        <v>3</v>
      </c>
      <c r="F645" s="35" t="n">
        <v>3</v>
      </c>
      <c r="G645" s="35" t="n">
        <v>7760</v>
      </c>
      <c r="H645" s="35" t="n">
        <v>2704</v>
      </c>
      <c r="I645" s="28" t="str">
        <f aca="false">INDEX(Campaigns!$C$2:$C$31,MATCH(B645,Campaigns!$A$2:$A$31,0))</f>
        <v>TikTok Ads</v>
      </c>
      <c r="J645" s="40" t="n">
        <f aca="false">DATE(YEAR(A645),MONTH(A645),1)</f>
        <v>46235</v>
      </c>
    </row>
    <row r="646" customFormat="false" ht="15" hidden="false" customHeight="false" outlineLevel="0" collapsed="false">
      <c r="A646" s="34" t="n">
        <v>46250</v>
      </c>
      <c r="B646" s="28" t="s">
        <v>141</v>
      </c>
      <c r="C646" s="35" t="n">
        <v>8173</v>
      </c>
      <c r="D646" s="35" t="n">
        <v>294</v>
      </c>
      <c r="E646" s="35" t="n">
        <v>10</v>
      </c>
      <c r="F646" s="35" t="n">
        <v>13</v>
      </c>
      <c r="G646" s="35" t="n">
        <v>38180</v>
      </c>
      <c r="H646" s="35" t="n">
        <v>2770</v>
      </c>
      <c r="I646" s="28" t="str">
        <f aca="false">INDEX(Campaigns!$C$2:$C$31,MATCH(B646,Campaigns!$A$2:$A$31,0))</f>
        <v>Email</v>
      </c>
      <c r="J646" s="40" t="n">
        <f aca="false">DATE(YEAR(A646),MONTH(A646),1)</f>
        <v>46235</v>
      </c>
    </row>
    <row r="647" customFormat="false" ht="15" hidden="false" customHeight="false" outlineLevel="0" collapsed="false">
      <c r="A647" s="34" t="n">
        <v>46250</v>
      </c>
      <c r="B647" s="28" t="s">
        <v>145</v>
      </c>
      <c r="C647" s="35" t="n">
        <v>8871</v>
      </c>
      <c r="D647" s="35" t="n">
        <v>456</v>
      </c>
      <c r="E647" s="35" t="n">
        <v>21</v>
      </c>
      <c r="F647" s="35" t="n">
        <v>24</v>
      </c>
      <c r="G647" s="35" t="n">
        <v>92050</v>
      </c>
      <c r="H647" s="35" t="n">
        <v>7747</v>
      </c>
      <c r="I647" s="28" t="str">
        <f aca="false">INDEX(Campaigns!$C$2:$C$31,MATCH(B647,Campaigns!$A$2:$A$31,0))</f>
        <v>Google Search Ads</v>
      </c>
      <c r="J647" s="40" t="n">
        <f aca="false">DATE(YEAR(A647),MONTH(A647),1)</f>
        <v>46235</v>
      </c>
    </row>
    <row r="648" customFormat="false" ht="15" hidden="false" customHeight="false" outlineLevel="0" collapsed="false">
      <c r="A648" s="34" t="n">
        <v>46250</v>
      </c>
      <c r="B648" s="28" t="s">
        <v>147</v>
      </c>
      <c r="C648" s="35" t="n">
        <v>24997</v>
      </c>
      <c r="D648" s="35" t="n">
        <v>332</v>
      </c>
      <c r="E648" s="35" t="n">
        <v>2</v>
      </c>
      <c r="F648" s="35" t="n">
        <v>1</v>
      </c>
      <c r="G648" s="35" t="n">
        <v>3620</v>
      </c>
      <c r="H648" s="35" t="n">
        <v>6362</v>
      </c>
      <c r="I648" s="28" t="str">
        <f aca="false">INDEX(Campaigns!$C$2:$C$31,MATCH(B648,Campaigns!$A$2:$A$31,0))</f>
        <v>Facebook &amp; Instagram Ads</v>
      </c>
      <c r="J648" s="40" t="n">
        <f aca="false">DATE(YEAR(A648),MONTH(A648),1)</f>
        <v>46235</v>
      </c>
    </row>
    <row r="649" customFormat="false" ht="15" hidden="false" customHeight="false" outlineLevel="0" collapsed="false">
      <c r="A649" s="34" t="n">
        <v>46250</v>
      </c>
      <c r="B649" s="28" t="s">
        <v>154</v>
      </c>
      <c r="C649" s="35" t="n">
        <v>6160</v>
      </c>
      <c r="D649" s="35" t="n">
        <v>46</v>
      </c>
      <c r="E649" s="35" t="n">
        <v>3</v>
      </c>
      <c r="F649" s="35" t="n">
        <v>0</v>
      </c>
      <c r="G649" s="35" t="n">
        <v>0</v>
      </c>
      <c r="H649" s="35" t="n">
        <v>3634</v>
      </c>
      <c r="I649" s="28" t="str">
        <f aca="false">INDEX(Campaigns!$C$2:$C$31,MATCH(B649,Campaigns!$A$2:$A$31,0))</f>
        <v>Influencer Partnerships</v>
      </c>
      <c r="J649" s="40" t="n">
        <f aca="false">DATE(YEAR(A649),MONTH(A649),1)</f>
        <v>46235</v>
      </c>
    </row>
    <row r="650" customFormat="false" ht="15" hidden="false" customHeight="false" outlineLevel="0" collapsed="false">
      <c r="A650" s="34" t="n">
        <v>46250</v>
      </c>
      <c r="B650" s="28" t="s">
        <v>156</v>
      </c>
      <c r="C650" s="35" t="n">
        <v>48718</v>
      </c>
      <c r="D650" s="35" t="n">
        <v>461</v>
      </c>
      <c r="E650" s="35" t="n">
        <v>72</v>
      </c>
      <c r="F650" s="35" t="n">
        <v>11</v>
      </c>
      <c r="G650" s="35" t="n">
        <v>31280</v>
      </c>
      <c r="H650" s="35" t="n">
        <v>8802</v>
      </c>
      <c r="I650" s="28" t="str">
        <f aca="false">INDEX(Campaigns!$C$2:$C$31,MATCH(B650,Campaigns!$A$2:$A$31,0))</f>
        <v>TikTok Ads</v>
      </c>
      <c r="J650" s="40" t="n">
        <f aca="false">DATE(YEAR(A650),MONTH(A650),1)</f>
        <v>46235</v>
      </c>
    </row>
    <row r="651" customFormat="false" ht="15" hidden="false" customHeight="false" outlineLevel="0" collapsed="false">
      <c r="A651" s="34" t="n">
        <v>46250</v>
      </c>
      <c r="B651" s="28" t="s">
        <v>158</v>
      </c>
      <c r="C651" s="35" t="n">
        <v>17785</v>
      </c>
      <c r="D651" s="35" t="n">
        <v>145</v>
      </c>
      <c r="E651" s="35" t="n">
        <v>22</v>
      </c>
      <c r="F651" s="35" t="n">
        <v>1</v>
      </c>
      <c r="G651" s="35" t="n">
        <v>2670</v>
      </c>
      <c r="H651" s="35" t="n">
        <v>9912</v>
      </c>
      <c r="I651" s="28" t="str">
        <f aca="false">INDEX(Campaigns!$C$2:$C$31,MATCH(B651,Campaigns!$A$2:$A$31,0))</f>
        <v>Influencer Partnerships</v>
      </c>
      <c r="J651" s="40" t="n">
        <f aca="false">DATE(YEAR(A651),MONTH(A651),1)</f>
        <v>46235</v>
      </c>
    </row>
    <row r="652" customFormat="false" ht="15" hidden="false" customHeight="false" outlineLevel="0" collapsed="false">
      <c r="A652" s="34" t="n">
        <v>46250</v>
      </c>
      <c r="B652" s="28" t="s">
        <v>159</v>
      </c>
      <c r="C652" s="35" t="n">
        <v>25439</v>
      </c>
      <c r="D652" s="35" t="n">
        <v>383</v>
      </c>
      <c r="E652" s="35" t="n">
        <v>53</v>
      </c>
      <c r="F652" s="35" t="n">
        <v>9</v>
      </c>
      <c r="G652" s="35" t="n">
        <v>29830</v>
      </c>
      <c r="H652" s="35" t="n">
        <v>6787</v>
      </c>
      <c r="I652" s="28" t="str">
        <f aca="false">INDEX(Campaigns!$C$2:$C$31,MATCH(B652,Campaigns!$A$2:$A$31,0))</f>
        <v>Facebook &amp; Instagram Ads</v>
      </c>
      <c r="J652" s="40" t="n">
        <f aca="false">DATE(YEAR(A652),MONTH(A652),1)</f>
        <v>46235</v>
      </c>
    </row>
    <row r="653" customFormat="false" ht="15" hidden="false" customHeight="false" outlineLevel="0" collapsed="false">
      <c r="A653" s="34" t="n">
        <v>46250</v>
      </c>
      <c r="B653" s="28" t="s">
        <v>161</v>
      </c>
      <c r="C653" s="35" t="n">
        <v>50469</v>
      </c>
      <c r="D653" s="35" t="n">
        <v>658</v>
      </c>
      <c r="E653" s="35" t="n">
        <v>11</v>
      </c>
      <c r="F653" s="35" t="n">
        <v>3</v>
      </c>
      <c r="G653" s="35" t="n">
        <v>8330</v>
      </c>
      <c r="H653" s="35" t="n">
        <v>11576</v>
      </c>
      <c r="I653" s="28" t="str">
        <f aca="false">INDEX(Campaigns!$C$2:$C$31,MATCH(B653,Campaigns!$A$2:$A$31,0))</f>
        <v>Facebook &amp; Instagram Ads</v>
      </c>
      <c r="J653" s="40" t="n">
        <f aca="false">DATE(YEAR(A653),MONTH(A653),1)</f>
        <v>46235</v>
      </c>
    </row>
    <row r="654" customFormat="false" ht="15" hidden="false" customHeight="false" outlineLevel="0" collapsed="false">
      <c r="A654" s="34" t="n">
        <v>46250</v>
      </c>
      <c r="B654" s="28" t="s">
        <v>163</v>
      </c>
      <c r="C654" s="35" t="n">
        <v>1963</v>
      </c>
      <c r="D654" s="35" t="n">
        <v>69</v>
      </c>
      <c r="E654" s="35" t="n">
        <v>4</v>
      </c>
      <c r="F654" s="35" t="n">
        <v>5</v>
      </c>
      <c r="G654" s="35" t="n">
        <v>14320</v>
      </c>
      <c r="H654" s="35" t="n">
        <v>625</v>
      </c>
      <c r="I654" s="28" t="str">
        <f aca="false">INDEX(Campaigns!$C$2:$C$31,MATCH(B654,Campaigns!$A$2:$A$31,0))</f>
        <v>Email</v>
      </c>
      <c r="J654" s="40" t="n">
        <f aca="false">DATE(YEAR(A654),MONTH(A654),1)</f>
        <v>46235</v>
      </c>
    </row>
    <row r="655" customFormat="false" ht="15" hidden="false" customHeight="false" outlineLevel="0" collapsed="false">
      <c r="A655" s="34" t="n">
        <v>46251</v>
      </c>
      <c r="B655" s="28" t="s">
        <v>108</v>
      </c>
      <c r="C655" s="35" t="n">
        <v>6446</v>
      </c>
      <c r="D655" s="35" t="n">
        <v>233</v>
      </c>
      <c r="E655" s="35" t="n">
        <v>20</v>
      </c>
      <c r="F655" s="35" t="n">
        <v>8</v>
      </c>
      <c r="G655" s="35" t="n">
        <v>21570</v>
      </c>
      <c r="H655" s="35" t="n">
        <v>2172</v>
      </c>
      <c r="I655" s="28" t="str">
        <f aca="false">INDEX(Campaigns!$C$2:$C$31,MATCH(B655,Campaigns!$A$2:$A$31,0))</f>
        <v>Email</v>
      </c>
      <c r="J655" s="40" t="n">
        <f aca="false">DATE(YEAR(A655),MONTH(A655),1)</f>
        <v>46235</v>
      </c>
    </row>
    <row r="656" customFormat="false" ht="15" hidden="false" customHeight="false" outlineLevel="0" collapsed="false">
      <c r="A656" s="34" t="n">
        <v>46251</v>
      </c>
      <c r="B656" s="28" t="s">
        <v>114</v>
      </c>
      <c r="C656" s="35" t="n">
        <v>822</v>
      </c>
      <c r="D656" s="35" t="n">
        <v>45</v>
      </c>
      <c r="E656" s="35" t="n">
        <v>2</v>
      </c>
      <c r="F656" s="35" t="n">
        <v>0</v>
      </c>
      <c r="G656" s="35" t="n">
        <v>0</v>
      </c>
      <c r="H656" s="35" t="n">
        <v>1144</v>
      </c>
      <c r="I656" s="28" t="str">
        <f aca="false">INDEX(Campaigns!$C$2:$C$31,MATCH(B656,Campaigns!$A$2:$A$31,0))</f>
        <v>WhatsApp Broadcast</v>
      </c>
      <c r="J656" s="40" t="n">
        <f aca="false">DATE(YEAR(A656),MONTH(A656),1)</f>
        <v>46235</v>
      </c>
    </row>
    <row r="657" customFormat="false" ht="15" hidden="false" customHeight="false" outlineLevel="0" collapsed="false">
      <c r="A657" s="34" t="n">
        <v>46251</v>
      </c>
      <c r="B657" s="28" t="s">
        <v>116</v>
      </c>
      <c r="C657" s="35" t="n">
        <v>23261</v>
      </c>
      <c r="D657" s="35" t="n">
        <v>251</v>
      </c>
      <c r="E657" s="35" t="n">
        <v>7</v>
      </c>
      <c r="F657" s="35" t="n">
        <v>4</v>
      </c>
      <c r="G657" s="35" t="n">
        <v>15320</v>
      </c>
      <c r="H657" s="35" t="n">
        <v>5602</v>
      </c>
      <c r="I657" s="28" t="str">
        <f aca="false">INDEX(Campaigns!$C$2:$C$31,MATCH(B657,Campaigns!$A$2:$A$31,0))</f>
        <v>Facebook &amp; Instagram Ads</v>
      </c>
      <c r="J657" s="40" t="n">
        <f aca="false">DATE(YEAR(A657),MONTH(A657),1)</f>
        <v>46235</v>
      </c>
    </row>
    <row r="658" customFormat="false" ht="15" hidden="false" customHeight="false" outlineLevel="0" collapsed="false">
      <c r="A658" s="34" t="n">
        <v>46251</v>
      </c>
      <c r="B658" s="28" t="s">
        <v>118</v>
      </c>
      <c r="C658" s="35" t="n">
        <v>3004</v>
      </c>
      <c r="D658" s="35" t="n">
        <v>151</v>
      </c>
      <c r="E658" s="35" t="n">
        <v>7</v>
      </c>
      <c r="F658" s="35" t="n">
        <v>6</v>
      </c>
      <c r="G658" s="35" t="n">
        <v>21620</v>
      </c>
      <c r="H658" s="35" t="n">
        <v>2634</v>
      </c>
      <c r="I658" s="28" t="str">
        <f aca="false">INDEX(Campaigns!$C$2:$C$31,MATCH(B658,Campaigns!$A$2:$A$31,0))</f>
        <v>Google Search Ads</v>
      </c>
      <c r="J658" s="40" t="n">
        <f aca="false">DATE(YEAR(A658),MONTH(A658),1)</f>
        <v>46235</v>
      </c>
    </row>
    <row r="659" customFormat="false" ht="15" hidden="false" customHeight="false" outlineLevel="0" collapsed="false">
      <c r="A659" s="34" t="n">
        <v>46251</v>
      </c>
      <c r="B659" s="28" t="s">
        <v>124</v>
      </c>
      <c r="C659" s="35" t="n">
        <v>7298</v>
      </c>
      <c r="D659" s="35" t="n">
        <v>145</v>
      </c>
      <c r="E659" s="35" t="n">
        <v>2</v>
      </c>
      <c r="F659" s="35" t="n">
        <v>3</v>
      </c>
      <c r="G659" s="35" t="n">
        <v>12850</v>
      </c>
      <c r="H659" s="35" t="n">
        <v>2675</v>
      </c>
      <c r="I659" s="28" t="str">
        <f aca="false">INDEX(Campaigns!$C$2:$C$31,MATCH(B659,Campaigns!$A$2:$A$31,0))</f>
        <v>Email</v>
      </c>
      <c r="J659" s="40" t="n">
        <f aca="false">DATE(YEAR(A659),MONTH(A659),1)</f>
        <v>46235</v>
      </c>
    </row>
    <row r="660" customFormat="false" ht="15" hidden="false" customHeight="false" outlineLevel="0" collapsed="false">
      <c r="A660" s="34" t="n">
        <v>46251</v>
      </c>
      <c r="B660" s="28" t="s">
        <v>126</v>
      </c>
      <c r="C660" s="35" t="n">
        <v>15992</v>
      </c>
      <c r="D660" s="35" t="n">
        <v>109</v>
      </c>
      <c r="E660" s="35" t="n">
        <v>4</v>
      </c>
      <c r="F660" s="35" t="n">
        <v>2</v>
      </c>
      <c r="G660" s="35" t="n">
        <v>5800</v>
      </c>
      <c r="H660" s="35" t="n">
        <v>2856</v>
      </c>
      <c r="I660" s="28" t="str">
        <f aca="false">INDEX(Campaigns!$C$2:$C$31,MATCH(B660,Campaigns!$A$2:$A$31,0))</f>
        <v>TikTok Ads</v>
      </c>
      <c r="J660" s="40" t="n">
        <f aca="false">DATE(YEAR(A660),MONTH(A660),1)</f>
        <v>46235</v>
      </c>
    </row>
    <row r="661" customFormat="false" ht="15" hidden="false" customHeight="false" outlineLevel="0" collapsed="false">
      <c r="A661" s="34" t="n">
        <v>46251</v>
      </c>
      <c r="B661" s="28" t="s">
        <v>130</v>
      </c>
      <c r="C661" s="35" t="n">
        <v>3010</v>
      </c>
      <c r="D661" s="35" t="n">
        <v>267</v>
      </c>
      <c r="E661" s="35" t="n">
        <v>10</v>
      </c>
      <c r="F661" s="35" t="n">
        <v>34</v>
      </c>
      <c r="G661" s="35" t="n">
        <v>103250</v>
      </c>
      <c r="H661" s="35" t="n">
        <v>4310</v>
      </c>
      <c r="I661" s="28" t="str">
        <f aca="false">INDEX(Campaigns!$C$2:$C$31,MATCH(B661,Campaigns!$A$2:$A$31,0))</f>
        <v>WhatsApp Broadcast</v>
      </c>
      <c r="J661" s="40" t="n">
        <f aca="false">DATE(YEAR(A661),MONTH(A661),1)</f>
        <v>46235</v>
      </c>
    </row>
    <row r="662" customFormat="false" ht="15" hidden="false" customHeight="false" outlineLevel="0" collapsed="false">
      <c r="A662" s="34" t="n">
        <v>46251</v>
      </c>
      <c r="B662" s="28" t="s">
        <v>134</v>
      </c>
      <c r="C662" s="35" t="n">
        <v>2437</v>
      </c>
      <c r="D662" s="35" t="n">
        <v>169</v>
      </c>
      <c r="E662" s="35" t="n">
        <v>3</v>
      </c>
      <c r="F662" s="35" t="n">
        <v>8</v>
      </c>
      <c r="G662" s="35" t="n">
        <v>23900</v>
      </c>
      <c r="H662" s="35" t="n">
        <v>3401</v>
      </c>
      <c r="I662" s="28" t="str">
        <f aca="false">INDEX(Campaigns!$C$2:$C$31,MATCH(B662,Campaigns!$A$2:$A$31,0))</f>
        <v>WhatsApp Broadcast</v>
      </c>
      <c r="J662" s="40" t="n">
        <f aca="false">DATE(YEAR(A662),MONTH(A662),1)</f>
        <v>46235</v>
      </c>
    </row>
    <row r="663" customFormat="false" ht="15" hidden="false" customHeight="false" outlineLevel="0" collapsed="false">
      <c r="A663" s="34" t="n">
        <v>46251</v>
      </c>
      <c r="B663" s="28" t="s">
        <v>136</v>
      </c>
      <c r="C663" s="35" t="n">
        <v>10803</v>
      </c>
      <c r="D663" s="35" t="n">
        <v>300</v>
      </c>
      <c r="E663" s="35" t="n">
        <v>15</v>
      </c>
      <c r="F663" s="35" t="n">
        <v>12</v>
      </c>
      <c r="G663" s="35" t="n">
        <v>38710</v>
      </c>
      <c r="H663" s="35" t="n">
        <v>4146</v>
      </c>
      <c r="I663" s="28" t="str">
        <f aca="false">INDEX(Campaigns!$C$2:$C$31,MATCH(B663,Campaigns!$A$2:$A$31,0))</f>
        <v>Email</v>
      </c>
      <c r="J663" s="40" t="n">
        <f aca="false">DATE(YEAR(A663),MONTH(A663),1)</f>
        <v>46235</v>
      </c>
    </row>
    <row r="664" customFormat="false" ht="15" hidden="false" customHeight="false" outlineLevel="0" collapsed="false">
      <c r="A664" s="34" t="n">
        <v>46251</v>
      </c>
      <c r="B664" s="28" t="s">
        <v>139</v>
      </c>
      <c r="C664" s="35" t="n">
        <v>18847</v>
      </c>
      <c r="D664" s="35" t="n">
        <v>185</v>
      </c>
      <c r="E664" s="35" t="n">
        <v>5</v>
      </c>
      <c r="F664" s="35" t="n">
        <v>2</v>
      </c>
      <c r="G664" s="35" t="n">
        <v>5260</v>
      </c>
      <c r="H664" s="35" t="n">
        <v>3143</v>
      </c>
      <c r="I664" s="28" t="str">
        <f aca="false">INDEX(Campaigns!$C$2:$C$31,MATCH(B664,Campaigns!$A$2:$A$31,0))</f>
        <v>TikTok Ads</v>
      </c>
      <c r="J664" s="40" t="n">
        <f aca="false">DATE(YEAR(A664),MONTH(A664),1)</f>
        <v>46235</v>
      </c>
    </row>
    <row r="665" customFormat="false" ht="15" hidden="false" customHeight="false" outlineLevel="0" collapsed="false">
      <c r="A665" s="34" t="n">
        <v>46251</v>
      </c>
      <c r="B665" s="28" t="s">
        <v>141</v>
      </c>
      <c r="C665" s="35" t="n">
        <v>8206</v>
      </c>
      <c r="D665" s="35" t="n">
        <v>292</v>
      </c>
      <c r="E665" s="35" t="n">
        <v>16</v>
      </c>
      <c r="F665" s="35" t="n">
        <v>18</v>
      </c>
      <c r="G665" s="35" t="n">
        <v>54090</v>
      </c>
      <c r="H665" s="35" t="n">
        <v>2757</v>
      </c>
      <c r="I665" s="28" t="str">
        <f aca="false">INDEX(Campaigns!$C$2:$C$31,MATCH(B665,Campaigns!$A$2:$A$31,0))</f>
        <v>Email</v>
      </c>
      <c r="J665" s="40" t="n">
        <f aca="false">DATE(YEAR(A665),MONTH(A665),1)</f>
        <v>46235</v>
      </c>
    </row>
    <row r="666" customFormat="false" ht="15" hidden="false" customHeight="false" outlineLevel="0" collapsed="false">
      <c r="A666" s="34" t="n">
        <v>46251</v>
      </c>
      <c r="B666" s="28" t="s">
        <v>145</v>
      </c>
      <c r="C666" s="35" t="n">
        <v>7717</v>
      </c>
      <c r="D666" s="35" t="n">
        <v>399</v>
      </c>
      <c r="E666" s="35" t="n">
        <v>16</v>
      </c>
      <c r="F666" s="35" t="n">
        <v>20</v>
      </c>
      <c r="G666" s="35" t="n">
        <v>71580</v>
      </c>
      <c r="H666" s="35" t="n">
        <v>7456</v>
      </c>
      <c r="I666" s="28" t="str">
        <f aca="false">INDEX(Campaigns!$C$2:$C$31,MATCH(B666,Campaigns!$A$2:$A$31,0))</f>
        <v>Google Search Ads</v>
      </c>
      <c r="J666" s="40" t="n">
        <f aca="false">DATE(YEAR(A666),MONTH(A666),1)</f>
        <v>46235</v>
      </c>
    </row>
    <row r="667" customFormat="false" ht="15" hidden="false" customHeight="false" outlineLevel="0" collapsed="false">
      <c r="A667" s="34" t="n">
        <v>46251</v>
      </c>
      <c r="B667" s="28" t="s">
        <v>152</v>
      </c>
      <c r="C667" s="35" t="n">
        <v>7210</v>
      </c>
      <c r="D667" s="35" t="n">
        <v>66</v>
      </c>
      <c r="E667" s="35" t="n">
        <v>2</v>
      </c>
      <c r="F667" s="35" t="n">
        <v>0</v>
      </c>
      <c r="G667" s="35" t="n">
        <v>0</v>
      </c>
      <c r="H667" s="35" t="n">
        <v>3992</v>
      </c>
      <c r="I667" s="28" t="str">
        <f aca="false">INDEX(Campaigns!$C$2:$C$31,MATCH(B667,Campaigns!$A$2:$A$31,0))</f>
        <v>Influencer Partnerships</v>
      </c>
      <c r="J667" s="40" t="n">
        <f aca="false">DATE(YEAR(A667),MONTH(A667),1)</f>
        <v>46235</v>
      </c>
    </row>
    <row r="668" customFormat="false" ht="15" hidden="false" customHeight="false" outlineLevel="0" collapsed="false">
      <c r="A668" s="34" t="n">
        <v>46251</v>
      </c>
      <c r="B668" s="28" t="s">
        <v>154</v>
      </c>
      <c r="C668" s="35" t="n">
        <v>5645</v>
      </c>
      <c r="D668" s="35" t="n">
        <v>46</v>
      </c>
      <c r="E668" s="35" t="n">
        <v>1</v>
      </c>
      <c r="F668" s="35" t="n">
        <v>0</v>
      </c>
      <c r="G668" s="35" t="n">
        <v>0</v>
      </c>
      <c r="H668" s="35" t="n">
        <v>3091</v>
      </c>
      <c r="I668" s="28" t="str">
        <f aca="false">INDEX(Campaigns!$C$2:$C$31,MATCH(B668,Campaigns!$A$2:$A$31,0))</f>
        <v>Influencer Partnerships</v>
      </c>
      <c r="J668" s="40" t="n">
        <f aca="false">DATE(YEAR(A668),MONTH(A668),1)</f>
        <v>46235</v>
      </c>
    </row>
    <row r="669" customFormat="false" ht="15" hidden="false" customHeight="false" outlineLevel="0" collapsed="false">
      <c r="A669" s="34" t="n">
        <v>46251</v>
      </c>
      <c r="B669" s="28" t="s">
        <v>156</v>
      </c>
      <c r="C669" s="35" t="n">
        <v>47944</v>
      </c>
      <c r="D669" s="35" t="n">
        <v>433</v>
      </c>
      <c r="E669" s="35" t="n">
        <v>68</v>
      </c>
      <c r="F669" s="35" t="n">
        <v>7</v>
      </c>
      <c r="G669" s="35" t="n">
        <v>20450</v>
      </c>
      <c r="H669" s="35" t="n">
        <v>8431</v>
      </c>
      <c r="I669" s="28" t="str">
        <f aca="false">INDEX(Campaigns!$C$2:$C$31,MATCH(B669,Campaigns!$A$2:$A$31,0))</f>
        <v>TikTok Ads</v>
      </c>
      <c r="J669" s="40" t="n">
        <f aca="false">DATE(YEAR(A669),MONTH(A669),1)</f>
        <v>46235</v>
      </c>
    </row>
    <row r="670" customFormat="false" ht="15" hidden="false" customHeight="false" outlineLevel="0" collapsed="false">
      <c r="A670" s="34" t="n">
        <v>46251</v>
      </c>
      <c r="B670" s="28" t="s">
        <v>158</v>
      </c>
      <c r="C670" s="35" t="n">
        <v>14848</v>
      </c>
      <c r="D670" s="35" t="n">
        <v>116</v>
      </c>
      <c r="E670" s="35" t="n">
        <v>18</v>
      </c>
      <c r="F670" s="35" t="n">
        <v>1</v>
      </c>
      <c r="G670" s="35" t="n">
        <v>2320</v>
      </c>
      <c r="H670" s="35" t="n">
        <v>9329</v>
      </c>
      <c r="I670" s="28" t="str">
        <f aca="false">INDEX(Campaigns!$C$2:$C$31,MATCH(B670,Campaigns!$A$2:$A$31,0))</f>
        <v>Influencer Partnerships</v>
      </c>
      <c r="J670" s="40" t="n">
        <f aca="false">DATE(YEAR(A670),MONTH(A670),1)</f>
        <v>46235</v>
      </c>
    </row>
    <row r="671" customFormat="false" ht="15" hidden="false" customHeight="false" outlineLevel="0" collapsed="false">
      <c r="A671" s="34" t="n">
        <v>46251</v>
      </c>
      <c r="B671" s="28" t="s">
        <v>159</v>
      </c>
      <c r="C671" s="35" t="n">
        <v>26113</v>
      </c>
      <c r="D671" s="35" t="n">
        <v>336</v>
      </c>
      <c r="E671" s="35" t="n">
        <v>55</v>
      </c>
      <c r="F671" s="35" t="n">
        <v>5</v>
      </c>
      <c r="G671" s="35" t="n">
        <v>16580</v>
      </c>
      <c r="H671" s="35" t="n">
        <v>6323</v>
      </c>
      <c r="I671" s="28" t="str">
        <f aca="false">INDEX(Campaigns!$C$2:$C$31,MATCH(B671,Campaigns!$A$2:$A$31,0))</f>
        <v>Facebook &amp; Instagram Ads</v>
      </c>
      <c r="J671" s="40" t="n">
        <f aca="false">DATE(YEAR(A671),MONTH(A671),1)</f>
        <v>46235</v>
      </c>
    </row>
    <row r="672" customFormat="false" ht="15" hidden="false" customHeight="false" outlineLevel="0" collapsed="false">
      <c r="A672" s="34" t="n">
        <v>46251</v>
      </c>
      <c r="B672" s="28" t="s">
        <v>161</v>
      </c>
      <c r="C672" s="35" t="n">
        <v>44782</v>
      </c>
      <c r="D672" s="35" t="n">
        <v>551</v>
      </c>
      <c r="E672" s="35" t="n">
        <v>11</v>
      </c>
      <c r="F672" s="35" t="n">
        <v>2</v>
      </c>
      <c r="G672" s="35" t="n">
        <v>6580</v>
      </c>
      <c r="H672" s="35" t="n">
        <v>11992</v>
      </c>
      <c r="I672" s="28" t="str">
        <f aca="false">INDEX(Campaigns!$C$2:$C$31,MATCH(B672,Campaigns!$A$2:$A$31,0))</f>
        <v>Facebook &amp; Instagram Ads</v>
      </c>
      <c r="J672" s="40" t="n">
        <f aca="false">DATE(YEAR(A672),MONTH(A672),1)</f>
        <v>46235</v>
      </c>
    </row>
    <row r="673" customFormat="false" ht="15" hidden="false" customHeight="false" outlineLevel="0" collapsed="false">
      <c r="A673" s="34" t="n">
        <v>46251</v>
      </c>
      <c r="B673" s="28" t="s">
        <v>163</v>
      </c>
      <c r="C673" s="35" t="n">
        <v>1632</v>
      </c>
      <c r="D673" s="35" t="n">
        <v>57</v>
      </c>
      <c r="E673" s="35" t="n">
        <v>1</v>
      </c>
      <c r="F673" s="35" t="n">
        <v>4</v>
      </c>
      <c r="G673" s="35" t="n">
        <v>10790</v>
      </c>
      <c r="H673" s="35" t="n">
        <v>570</v>
      </c>
      <c r="I673" s="28" t="str">
        <f aca="false">INDEX(Campaigns!$C$2:$C$31,MATCH(B673,Campaigns!$A$2:$A$31,0))</f>
        <v>Email</v>
      </c>
      <c r="J673" s="40" t="n">
        <f aca="false">DATE(YEAR(A673),MONTH(A673),1)</f>
        <v>46235</v>
      </c>
    </row>
    <row r="674" customFormat="false" ht="15" hidden="false" customHeight="false" outlineLevel="0" collapsed="false">
      <c r="A674" s="34" t="n">
        <v>46252</v>
      </c>
      <c r="B674" s="28" t="s">
        <v>105</v>
      </c>
      <c r="C674" s="35" t="n">
        <v>4629</v>
      </c>
      <c r="D674" s="35" t="n">
        <v>199</v>
      </c>
      <c r="E674" s="35" t="n">
        <v>5</v>
      </c>
      <c r="F674" s="35" t="n">
        <v>8</v>
      </c>
      <c r="G674" s="35" t="n">
        <v>31180</v>
      </c>
      <c r="H674" s="35" t="n">
        <v>4629</v>
      </c>
      <c r="I674" s="28" t="str">
        <f aca="false">INDEX(Campaigns!$C$2:$C$31,MATCH(B674,Campaigns!$A$2:$A$31,0))</f>
        <v>Google Search Ads</v>
      </c>
      <c r="J674" s="40" t="n">
        <f aca="false">DATE(YEAR(A674),MONTH(A674),1)</f>
        <v>46235</v>
      </c>
    </row>
    <row r="675" customFormat="false" ht="15" hidden="false" customHeight="false" outlineLevel="0" collapsed="false">
      <c r="A675" s="34" t="n">
        <v>46252</v>
      </c>
      <c r="B675" s="28" t="s">
        <v>108</v>
      </c>
      <c r="C675" s="35" t="n">
        <v>7901</v>
      </c>
      <c r="D675" s="35" t="n">
        <v>284</v>
      </c>
      <c r="E675" s="35" t="n">
        <v>11</v>
      </c>
      <c r="F675" s="35" t="n">
        <v>11</v>
      </c>
      <c r="G675" s="35" t="n">
        <v>31370</v>
      </c>
      <c r="H675" s="35" t="n">
        <v>2621</v>
      </c>
      <c r="I675" s="28" t="str">
        <f aca="false">INDEX(Campaigns!$C$2:$C$31,MATCH(B675,Campaigns!$A$2:$A$31,0))</f>
        <v>Email</v>
      </c>
      <c r="J675" s="40" t="n">
        <f aca="false">DATE(YEAR(A675),MONTH(A675),1)</f>
        <v>46235</v>
      </c>
    </row>
    <row r="676" customFormat="false" ht="15" hidden="false" customHeight="false" outlineLevel="0" collapsed="false">
      <c r="A676" s="34" t="n">
        <v>46252</v>
      </c>
      <c r="B676" s="28" t="s">
        <v>114</v>
      </c>
      <c r="C676" s="35" t="n">
        <v>583</v>
      </c>
      <c r="D676" s="35" t="n">
        <v>32</v>
      </c>
      <c r="E676" s="35" t="n">
        <v>3</v>
      </c>
      <c r="F676" s="35" t="n">
        <v>1</v>
      </c>
      <c r="G676" s="35" t="n">
        <v>2290</v>
      </c>
      <c r="H676" s="35" t="n">
        <v>907</v>
      </c>
      <c r="I676" s="28" t="str">
        <f aca="false">INDEX(Campaigns!$C$2:$C$31,MATCH(B676,Campaigns!$A$2:$A$31,0))</f>
        <v>WhatsApp Broadcast</v>
      </c>
      <c r="J676" s="40" t="n">
        <f aca="false">DATE(YEAR(A676),MONTH(A676),1)</f>
        <v>46235</v>
      </c>
    </row>
    <row r="677" customFormat="false" ht="15" hidden="false" customHeight="false" outlineLevel="0" collapsed="false">
      <c r="A677" s="34" t="n">
        <v>46252</v>
      </c>
      <c r="B677" s="28" t="s">
        <v>116</v>
      </c>
      <c r="C677" s="35" t="n">
        <v>22512</v>
      </c>
      <c r="D677" s="35" t="n">
        <v>248</v>
      </c>
      <c r="E677" s="35" t="n">
        <v>8</v>
      </c>
      <c r="F677" s="35" t="n">
        <v>3</v>
      </c>
      <c r="G677" s="35" t="n">
        <v>9110</v>
      </c>
      <c r="H677" s="35" t="n">
        <v>6166</v>
      </c>
      <c r="I677" s="28" t="str">
        <f aca="false">INDEX(Campaigns!$C$2:$C$31,MATCH(B677,Campaigns!$A$2:$A$31,0))</f>
        <v>Facebook &amp; Instagram Ads</v>
      </c>
      <c r="J677" s="40" t="n">
        <f aca="false">DATE(YEAR(A677),MONTH(A677),1)</f>
        <v>46235</v>
      </c>
    </row>
    <row r="678" customFormat="false" ht="15" hidden="false" customHeight="false" outlineLevel="0" collapsed="false">
      <c r="A678" s="34" t="n">
        <v>46252</v>
      </c>
      <c r="B678" s="28" t="s">
        <v>118</v>
      </c>
      <c r="C678" s="35" t="n">
        <v>2512</v>
      </c>
      <c r="D678" s="35" t="n">
        <v>127</v>
      </c>
      <c r="E678" s="35" t="n">
        <v>11</v>
      </c>
      <c r="F678" s="35" t="n">
        <v>9</v>
      </c>
      <c r="G678" s="35" t="n">
        <v>30230</v>
      </c>
      <c r="H678" s="35" t="n">
        <v>2338</v>
      </c>
      <c r="I678" s="28" t="str">
        <f aca="false">INDEX(Campaigns!$C$2:$C$31,MATCH(B678,Campaigns!$A$2:$A$31,0))</f>
        <v>Google Search Ads</v>
      </c>
      <c r="J678" s="40" t="n">
        <f aca="false">DATE(YEAR(A678),MONTH(A678),1)</f>
        <v>46235</v>
      </c>
    </row>
    <row r="679" customFormat="false" ht="15" hidden="false" customHeight="false" outlineLevel="0" collapsed="false">
      <c r="A679" s="34" t="n">
        <v>46252</v>
      </c>
      <c r="B679" s="28" t="s">
        <v>124</v>
      </c>
      <c r="C679" s="35" t="n">
        <v>6529</v>
      </c>
      <c r="D679" s="35" t="n">
        <v>145</v>
      </c>
      <c r="E679" s="35" t="n">
        <v>11</v>
      </c>
      <c r="F679" s="35" t="n">
        <v>3</v>
      </c>
      <c r="G679" s="35" t="n">
        <v>8250</v>
      </c>
      <c r="H679" s="35" t="n">
        <v>2174</v>
      </c>
      <c r="I679" s="28" t="str">
        <f aca="false">INDEX(Campaigns!$C$2:$C$31,MATCH(B679,Campaigns!$A$2:$A$31,0))</f>
        <v>Email</v>
      </c>
      <c r="J679" s="40" t="n">
        <f aca="false">DATE(YEAR(A679),MONTH(A679),1)</f>
        <v>46235</v>
      </c>
    </row>
    <row r="680" customFormat="false" ht="15" hidden="false" customHeight="false" outlineLevel="0" collapsed="false">
      <c r="A680" s="34" t="n">
        <v>46252</v>
      </c>
      <c r="B680" s="28" t="s">
        <v>126</v>
      </c>
      <c r="C680" s="35" t="n">
        <v>14464</v>
      </c>
      <c r="D680" s="35" t="n">
        <v>91</v>
      </c>
      <c r="E680" s="35" t="n">
        <v>4</v>
      </c>
      <c r="F680" s="35" t="n">
        <v>1</v>
      </c>
      <c r="G680" s="35" t="n">
        <v>3240</v>
      </c>
      <c r="H680" s="35" t="n">
        <v>2835</v>
      </c>
      <c r="I680" s="28" t="str">
        <f aca="false">INDEX(Campaigns!$C$2:$C$31,MATCH(B680,Campaigns!$A$2:$A$31,0))</f>
        <v>TikTok Ads</v>
      </c>
      <c r="J680" s="40" t="n">
        <f aca="false">DATE(YEAR(A680),MONTH(A680),1)</f>
        <v>46235</v>
      </c>
    </row>
    <row r="681" customFormat="false" ht="15" hidden="false" customHeight="false" outlineLevel="0" collapsed="false">
      <c r="A681" s="34" t="n">
        <v>46252</v>
      </c>
      <c r="B681" s="28" t="s">
        <v>130</v>
      </c>
      <c r="C681" s="35" t="n">
        <v>2385</v>
      </c>
      <c r="D681" s="35" t="n">
        <v>212</v>
      </c>
      <c r="E681" s="35" t="n">
        <v>7</v>
      </c>
      <c r="F681" s="35" t="n">
        <v>17</v>
      </c>
      <c r="G681" s="35" t="n">
        <v>47440</v>
      </c>
      <c r="H681" s="35" t="n">
        <v>3664</v>
      </c>
      <c r="I681" s="28" t="str">
        <f aca="false">INDEX(Campaigns!$C$2:$C$31,MATCH(B681,Campaigns!$A$2:$A$31,0))</f>
        <v>WhatsApp Broadcast</v>
      </c>
      <c r="J681" s="40" t="n">
        <f aca="false">DATE(YEAR(A681),MONTH(A681),1)</f>
        <v>46235</v>
      </c>
    </row>
    <row r="682" customFormat="false" ht="15" hidden="false" customHeight="false" outlineLevel="0" collapsed="false">
      <c r="A682" s="34" t="n">
        <v>46252</v>
      </c>
      <c r="B682" s="28" t="s">
        <v>132</v>
      </c>
      <c r="C682" s="35" t="n">
        <v>31423</v>
      </c>
      <c r="D682" s="35" t="n">
        <v>433</v>
      </c>
      <c r="E682" s="35" t="n">
        <v>74</v>
      </c>
      <c r="F682" s="35" t="n">
        <v>6</v>
      </c>
      <c r="G682" s="35" t="n">
        <v>21640</v>
      </c>
      <c r="H682" s="35" t="n">
        <v>8274</v>
      </c>
      <c r="I682" s="28" t="str">
        <f aca="false">INDEX(Campaigns!$C$2:$C$31,MATCH(B682,Campaigns!$A$2:$A$31,0))</f>
        <v>Facebook &amp; Instagram Ads</v>
      </c>
      <c r="J682" s="40" t="n">
        <f aca="false">DATE(YEAR(A682),MONTH(A682),1)</f>
        <v>46235</v>
      </c>
    </row>
    <row r="683" customFormat="false" ht="15" hidden="false" customHeight="false" outlineLevel="0" collapsed="false">
      <c r="A683" s="34" t="n">
        <v>46252</v>
      </c>
      <c r="B683" s="28" t="s">
        <v>134</v>
      </c>
      <c r="C683" s="35" t="n">
        <v>2654</v>
      </c>
      <c r="D683" s="35" t="n">
        <v>158</v>
      </c>
      <c r="E683" s="35" t="n">
        <v>11</v>
      </c>
      <c r="F683" s="35" t="n">
        <v>15</v>
      </c>
      <c r="G683" s="35" t="n">
        <v>41420</v>
      </c>
      <c r="H683" s="35" t="n">
        <v>3449</v>
      </c>
      <c r="I683" s="28" t="str">
        <f aca="false">INDEX(Campaigns!$C$2:$C$31,MATCH(B683,Campaigns!$A$2:$A$31,0))</f>
        <v>WhatsApp Broadcast</v>
      </c>
      <c r="J683" s="40" t="n">
        <f aca="false">DATE(YEAR(A683),MONTH(A683),1)</f>
        <v>46235</v>
      </c>
    </row>
    <row r="684" customFormat="false" ht="15" hidden="false" customHeight="false" outlineLevel="0" collapsed="false">
      <c r="A684" s="34" t="n">
        <v>46252</v>
      </c>
      <c r="B684" s="28" t="s">
        <v>139</v>
      </c>
      <c r="C684" s="35" t="n">
        <v>13440</v>
      </c>
      <c r="D684" s="35" t="n">
        <v>152</v>
      </c>
      <c r="E684" s="35" t="n">
        <v>3</v>
      </c>
      <c r="F684" s="35" t="n">
        <v>1</v>
      </c>
      <c r="G684" s="35" t="n">
        <v>2980</v>
      </c>
      <c r="H684" s="35" t="n">
        <v>2686</v>
      </c>
      <c r="I684" s="28" t="str">
        <f aca="false">INDEX(Campaigns!$C$2:$C$31,MATCH(B684,Campaigns!$A$2:$A$31,0))</f>
        <v>TikTok Ads</v>
      </c>
      <c r="J684" s="40" t="n">
        <f aca="false">DATE(YEAR(A684),MONTH(A684),1)</f>
        <v>46235</v>
      </c>
    </row>
    <row r="685" customFormat="false" ht="15" hidden="false" customHeight="false" outlineLevel="0" collapsed="false">
      <c r="A685" s="34" t="n">
        <v>46252</v>
      </c>
      <c r="B685" s="28" t="s">
        <v>141</v>
      </c>
      <c r="C685" s="35" t="n">
        <v>7507</v>
      </c>
      <c r="D685" s="35" t="n">
        <v>250</v>
      </c>
      <c r="E685" s="35" t="n">
        <v>10</v>
      </c>
      <c r="F685" s="35" t="n">
        <v>7</v>
      </c>
      <c r="G685" s="35" t="n">
        <v>20960</v>
      </c>
      <c r="H685" s="35" t="n">
        <v>2704</v>
      </c>
      <c r="I685" s="28" t="str">
        <f aca="false">INDEX(Campaigns!$C$2:$C$31,MATCH(B685,Campaigns!$A$2:$A$31,0))</f>
        <v>Email</v>
      </c>
      <c r="J685" s="40" t="n">
        <f aca="false">DATE(YEAR(A685),MONTH(A685),1)</f>
        <v>46235</v>
      </c>
    </row>
    <row r="686" customFormat="false" ht="15" hidden="false" customHeight="false" outlineLevel="0" collapsed="false">
      <c r="A686" s="34" t="n">
        <v>46252</v>
      </c>
      <c r="B686" s="28" t="s">
        <v>145</v>
      </c>
      <c r="C686" s="35" t="n">
        <v>7491</v>
      </c>
      <c r="D686" s="35" t="n">
        <v>343</v>
      </c>
      <c r="E686" s="35" t="n">
        <v>11</v>
      </c>
      <c r="F686" s="35" t="n">
        <v>12</v>
      </c>
      <c r="G686" s="35" t="n">
        <v>45760</v>
      </c>
      <c r="H686" s="35" t="n">
        <v>6791</v>
      </c>
      <c r="I686" s="28" t="str">
        <f aca="false">INDEX(Campaigns!$C$2:$C$31,MATCH(B686,Campaigns!$A$2:$A$31,0))</f>
        <v>Google Search Ads</v>
      </c>
      <c r="J686" s="40" t="n">
        <f aca="false">DATE(YEAR(A686),MONTH(A686),1)</f>
        <v>46235</v>
      </c>
    </row>
    <row r="687" customFormat="false" ht="15" hidden="false" customHeight="false" outlineLevel="0" collapsed="false">
      <c r="A687" s="34" t="n">
        <v>46252</v>
      </c>
      <c r="B687" s="28" t="s">
        <v>147</v>
      </c>
      <c r="C687" s="35" t="n">
        <v>21046</v>
      </c>
      <c r="D687" s="35" t="n">
        <v>269</v>
      </c>
      <c r="E687" s="35" t="n">
        <v>6</v>
      </c>
      <c r="F687" s="35" t="n">
        <v>0</v>
      </c>
      <c r="G687" s="35" t="n">
        <v>0</v>
      </c>
      <c r="H687" s="35" t="n">
        <v>5290</v>
      </c>
      <c r="I687" s="28" t="str">
        <f aca="false">INDEX(Campaigns!$C$2:$C$31,MATCH(B687,Campaigns!$A$2:$A$31,0))</f>
        <v>Facebook &amp; Instagram Ads</v>
      </c>
      <c r="J687" s="40" t="n">
        <f aca="false">DATE(YEAR(A687),MONTH(A687),1)</f>
        <v>46235</v>
      </c>
    </row>
    <row r="688" customFormat="false" ht="15" hidden="false" customHeight="false" outlineLevel="0" collapsed="false">
      <c r="A688" s="34" t="n">
        <v>46252</v>
      </c>
      <c r="B688" s="28" t="s">
        <v>152</v>
      </c>
      <c r="C688" s="35" t="n">
        <v>8793</v>
      </c>
      <c r="D688" s="35" t="n">
        <v>81</v>
      </c>
      <c r="E688" s="35" t="n">
        <v>4</v>
      </c>
      <c r="F688" s="35" t="n">
        <v>0</v>
      </c>
      <c r="G688" s="35" t="n">
        <v>0</v>
      </c>
      <c r="H688" s="35" t="n">
        <v>4969</v>
      </c>
      <c r="I688" s="28" t="str">
        <f aca="false">INDEX(Campaigns!$C$2:$C$31,MATCH(B688,Campaigns!$A$2:$A$31,0))</f>
        <v>Influencer Partnerships</v>
      </c>
      <c r="J688" s="40" t="n">
        <f aca="false">DATE(YEAR(A688),MONTH(A688),1)</f>
        <v>46235</v>
      </c>
    </row>
    <row r="689" customFormat="false" ht="15" hidden="false" customHeight="false" outlineLevel="0" collapsed="false">
      <c r="A689" s="34" t="n">
        <v>46252</v>
      </c>
      <c r="B689" s="28" t="s">
        <v>154</v>
      </c>
      <c r="C689" s="35" t="n">
        <v>6736</v>
      </c>
      <c r="D689" s="35" t="n">
        <v>64</v>
      </c>
      <c r="E689" s="35" t="n">
        <v>6</v>
      </c>
      <c r="F689" s="35" t="n">
        <v>0</v>
      </c>
      <c r="G689" s="35" t="n">
        <v>0</v>
      </c>
      <c r="H689" s="35" t="n">
        <v>3988</v>
      </c>
      <c r="I689" s="28" t="str">
        <f aca="false">INDEX(Campaigns!$C$2:$C$31,MATCH(B689,Campaigns!$A$2:$A$31,0))</f>
        <v>Influencer Partnerships</v>
      </c>
      <c r="J689" s="40" t="n">
        <f aca="false">DATE(YEAR(A689),MONTH(A689),1)</f>
        <v>46235</v>
      </c>
    </row>
    <row r="690" customFormat="false" ht="15" hidden="false" customHeight="false" outlineLevel="0" collapsed="false">
      <c r="A690" s="34" t="n">
        <v>46252</v>
      </c>
      <c r="B690" s="28" t="s">
        <v>156</v>
      </c>
      <c r="C690" s="35" t="n">
        <v>49793</v>
      </c>
      <c r="D690" s="35" t="n">
        <v>435</v>
      </c>
      <c r="E690" s="35" t="n">
        <v>71</v>
      </c>
      <c r="F690" s="35" t="n">
        <v>6</v>
      </c>
      <c r="G690" s="35" t="n">
        <v>13570</v>
      </c>
      <c r="H690" s="35" t="n">
        <v>8305</v>
      </c>
      <c r="I690" s="28" t="str">
        <f aca="false">INDEX(Campaigns!$C$2:$C$31,MATCH(B690,Campaigns!$A$2:$A$31,0))</f>
        <v>TikTok Ads</v>
      </c>
      <c r="J690" s="40" t="n">
        <f aca="false">DATE(YEAR(A690),MONTH(A690),1)</f>
        <v>46235</v>
      </c>
    </row>
    <row r="691" customFormat="false" ht="15" hidden="false" customHeight="false" outlineLevel="0" collapsed="false">
      <c r="A691" s="34" t="n">
        <v>46252</v>
      </c>
      <c r="B691" s="28" t="s">
        <v>158</v>
      </c>
      <c r="C691" s="35" t="n">
        <v>16433</v>
      </c>
      <c r="D691" s="35" t="n">
        <v>164</v>
      </c>
      <c r="E691" s="35" t="n">
        <v>18</v>
      </c>
      <c r="F691" s="35" t="n">
        <v>2</v>
      </c>
      <c r="G691" s="35" t="n">
        <v>9500</v>
      </c>
      <c r="H691" s="35" t="n">
        <v>9675</v>
      </c>
      <c r="I691" s="28" t="str">
        <f aca="false">INDEX(Campaigns!$C$2:$C$31,MATCH(B691,Campaigns!$A$2:$A$31,0))</f>
        <v>Influencer Partnerships</v>
      </c>
      <c r="J691" s="40" t="n">
        <f aca="false">DATE(YEAR(A691),MONTH(A691),1)</f>
        <v>46235</v>
      </c>
    </row>
    <row r="692" customFormat="false" ht="15" hidden="false" customHeight="false" outlineLevel="0" collapsed="false">
      <c r="A692" s="34" t="n">
        <v>46252</v>
      </c>
      <c r="B692" s="28" t="s">
        <v>159</v>
      </c>
      <c r="C692" s="35" t="n">
        <v>23151</v>
      </c>
      <c r="D692" s="35" t="n">
        <v>359</v>
      </c>
      <c r="E692" s="35" t="n">
        <v>54</v>
      </c>
      <c r="F692" s="35" t="n">
        <v>10</v>
      </c>
      <c r="G692" s="35" t="n">
        <v>31410</v>
      </c>
      <c r="H692" s="35" t="n">
        <v>6251</v>
      </c>
      <c r="I692" s="28" t="str">
        <f aca="false">INDEX(Campaigns!$C$2:$C$31,MATCH(B692,Campaigns!$A$2:$A$31,0))</f>
        <v>Facebook &amp; Instagram Ads</v>
      </c>
      <c r="J692" s="40" t="n">
        <f aca="false">DATE(YEAR(A692),MONTH(A692),1)</f>
        <v>46235</v>
      </c>
    </row>
    <row r="693" customFormat="false" ht="15" hidden="false" customHeight="false" outlineLevel="0" collapsed="false">
      <c r="A693" s="34" t="n">
        <v>46252</v>
      </c>
      <c r="B693" s="28" t="s">
        <v>161</v>
      </c>
      <c r="C693" s="35" t="n">
        <v>36872</v>
      </c>
      <c r="D693" s="35" t="n">
        <v>485</v>
      </c>
      <c r="E693" s="35" t="n">
        <v>4</v>
      </c>
      <c r="F693" s="35" t="n">
        <v>3</v>
      </c>
      <c r="G693" s="35" t="n">
        <v>13180</v>
      </c>
      <c r="H693" s="35" t="n">
        <v>9813</v>
      </c>
      <c r="I693" s="28" t="str">
        <f aca="false">INDEX(Campaigns!$C$2:$C$31,MATCH(B693,Campaigns!$A$2:$A$31,0))</f>
        <v>Facebook &amp; Instagram Ads</v>
      </c>
      <c r="J693" s="40" t="n">
        <f aca="false">DATE(YEAR(A693),MONTH(A693),1)</f>
        <v>46235</v>
      </c>
    </row>
    <row r="694" customFormat="false" ht="15" hidden="false" customHeight="false" outlineLevel="0" collapsed="false">
      <c r="A694" s="34" t="n">
        <v>46252</v>
      </c>
      <c r="B694" s="28" t="s">
        <v>163</v>
      </c>
      <c r="C694" s="35" t="n">
        <v>1788</v>
      </c>
      <c r="D694" s="35" t="n">
        <v>64</v>
      </c>
      <c r="E694" s="35" t="n">
        <v>7</v>
      </c>
      <c r="F694" s="35" t="n">
        <v>5</v>
      </c>
      <c r="G694" s="35" t="n">
        <v>15250</v>
      </c>
      <c r="H694" s="35" t="n">
        <v>573</v>
      </c>
      <c r="I694" s="28" t="str">
        <f aca="false">INDEX(Campaigns!$C$2:$C$31,MATCH(B694,Campaigns!$A$2:$A$31,0))</f>
        <v>Email</v>
      </c>
      <c r="J694" s="40" t="n">
        <f aca="false">DATE(YEAR(A694),MONTH(A694),1)</f>
        <v>46235</v>
      </c>
    </row>
    <row r="695" customFormat="false" ht="15" hidden="false" customHeight="false" outlineLevel="0" collapsed="false">
      <c r="A695" s="34" t="n">
        <v>46253</v>
      </c>
      <c r="B695" s="28" t="s">
        <v>105</v>
      </c>
      <c r="C695" s="35" t="n">
        <v>5178</v>
      </c>
      <c r="D695" s="35" t="n">
        <v>167</v>
      </c>
      <c r="E695" s="35" t="n">
        <v>13</v>
      </c>
      <c r="F695" s="35" t="n">
        <v>2</v>
      </c>
      <c r="G695" s="35" t="n">
        <v>6490</v>
      </c>
      <c r="H695" s="35" t="n">
        <v>5034</v>
      </c>
      <c r="I695" s="28" t="str">
        <f aca="false">INDEX(Campaigns!$C$2:$C$31,MATCH(B695,Campaigns!$A$2:$A$31,0))</f>
        <v>Google Search Ads</v>
      </c>
      <c r="J695" s="40" t="n">
        <f aca="false">DATE(YEAR(A695),MONTH(A695),1)</f>
        <v>46235</v>
      </c>
    </row>
    <row r="696" customFormat="false" ht="15" hidden="false" customHeight="false" outlineLevel="0" collapsed="false">
      <c r="A696" s="34" t="n">
        <v>46253</v>
      </c>
      <c r="B696" s="28" t="s">
        <v>110</v>
      </c>
      <c r="C696" s="35" t="n">
        <v>14733</v>
      </c>
      <c r="D696" s="35" t="n">
        <v>155</v>
      </c>
      <c r="E696" s="35" t="n">
        <v>19</v>
      </c>
      <c r="F696" s="35" t="n">
        <v>3</v>
      </c>
      <c r="G696" s="35" t="n">
        <v>10290</v>
      </c>
      <c r="H696" s="35" t="n">
        <v>8956</v>
      </c>
      <c r="I696" s="28" t="str">
        <f aca="false">INDEX(Campaigns!$C$2:$C$31,MATCH(B696,Campaigns!$A$2:$A$31,0))</f>
        <v>Influencer Partnerships</v>
      </c>
      <c r="J696" s="40" t="n">
        <f aca="false">DATE(YEAR(A696),MONTH(A696),1)</f>
        <v>46235</v>
      </c>
    </row>
    <row r="697" customFormat="false" ht="15" hidden="false" customHeight="false" outlineLevel="0" collapsed="false">
      <c r="A697" s="34" t="n">
        <v>46253</v>
      </c>
      <c r="B697" s="28" t="s">
        <v>114</v>
      </c>
      <c r="C697" s="35" t="n">
        <v>855</v>
      </c>
      <c r="D697" s="35" t="n">
        <v>53</v>
      </c>
      <c r="E697" s="35" t="n">
        <v>0</v>
      </c>
      <c r="F697" s="35" t="n">
        <v>0</v>
      </c>
      <c r="G697" s="35" t="n">
        <v>0</v>
      </c>
      <c r="H697" s="35" t="n">
        <v>1118</v>
      </c>
      <c r="I697" s="28" t="str">
        <f aca="false">INDEX(Campaigns!$C$2:$C$31,MATCH(B697,Campaigns!$A$2:$A$31,0))</f>
        <v>WhatsApp Broadcast</v>
      </c>
      <c r="J697" s="40" t="n">
        <f aca="false">DATE(YEAR(A697),MONTH(A697),1)</f>
        <v>46235</v>
      </c>
    </row>
    <row r="698" customFormat="false" ht="15" hidden="false" customHeight="false" outlineLevel="0" collapsed="false">
      <c r="A698" s="34" t="n">
        <v>46253</v>
      </c>
      <c r="B698" s="28" t="s">
        <v>116</v>
      </c>
      <c r="C698" s="35" t="n">
        <v>23041</v>
      </c>
      <c r="D698" s="35" t="n">
        <v>272</v>
      </c>
      <c r="E698" s="35" t="n">
        <v>6</v>
      </c>
      <c r="F698" s="35" t="n">
        <v>4</v>
      </c>
      <c r="G698" s="35" t="n">
        <v>11220</v>
      </c>
      <c r="H698" s="35" t="n">
        <v>5788</v>
      </c>
      <c r="I698" s="28" t="str">
        <f aca="false">INDEX(Campaigns!$C$2:$C$31,MATCH(B698,Campaigns!$A$2:$A$31,0))</f>
        <v>Facebook &amp; Instagram Ads</v>
      </c>
      <c r="J698" s="40" t="n">
        <f aca="false">DATE(YEAR(A698),MONTH(A698),1)</f>
        <v>46235</v>
      </c>
    </row>
    <row r="699" customFormat="false" ht="15" hidden="false" customHeight="false" outlineLevel="0" collapsed="false">
      <c r="A699" s="34" t="n">
        <v>46253</v>
      </c>
      <c r="B699" s="28" t="s">
        <v>118</v>
      </c>
      <c r="C699" s="35" t="n">
        <v>3000</v>
      </c>
      <c r="D699" s="35" t="n">
        <v>143</v>
      </c>
      <c r="E699" s="35" t="n">
        <v>5</v>
      </c>
      <c r="F699" s="35" t="n">
        <v>9</v>
      </c>
      <c r="G699" s="35" t="n">
        <v>34020</v>
      </c>
      <c r="H699" s="35" t="n">
        <v>2724</v>
      </c>
      <c r="I699" s="28" t="str">
        <f aca="false">INDEX(Campaigns!$C$2:$C$31,MATCH(B699,Campaigns!$A$2:$A$31,0))</f>
        <v>Google Search Ads</v>
      </c>
      <c r="J699" s="40" t="n">
        <f aca="false">DATE(YEAR(A699),MONTH(A699),1)</f>
        <v>46235</v>
      </c>
    </row>
    <row r="700" customFormat="false" ht="15" hidden="false" customHeight="false" outlineLevel="0" collapsed="false">
      <c r="A700" s="34" t="n">
        <v>46253</v>
      </c>
      <c r="B700" s="28" t="s">
        <v>124</v>
      </c>
      <c r="C700" s="35" t="n">
        <v>7297</v>
      </c>
      <c r="D700" s="35" t="n">
        <v>158</v>
      </c>
      <c r="E700" s="35" t="n">
        <v>9</v>
      </c>
      <c r="F700" s="35" t="n">
        <v>4</v>
      </c>
      <c r="G700" s="35" t="n">
        <v>10320</v>
      </c>
      <c r="H700" s="35" t="n">
        <v>2833</v>
      </c>
      <c r="I700" s="28" t="str">
        <f aca="false">INDEX(Campaigns!$C$2:$C$31,MATCH(B700,Campaigns!$A$2:$A$31,0))</f>
        <v>Email</v>
      </c>
      <c r="J700" s="40" t="n">
        <f aca="false">DATE(YEAR(A700),MONTH(A700),1)</f>
        <v>46235</v>
      </c>
    </row>
    <row r="701" customFormat="false" ht="15" hidden="false" customHeight="false" outlineLevel="0" collapsed="false">
      <c r="A701" s="34" t="n">
        <v>46253</v>
      </c>
      <c r="B701" s="28" t="s">
        <v>126</v>
      </c>
      <c r="C701" s="35" t="n">
        <v>13941</v>
      </c>
      <c r="D701" s="35" t="n">
        <v>94</v>
      </c>
      <c r="E701" s="35" t="n">
        <v>2</v>
      </c>
      <c r="F701" s="35" t="n">
        <v>0</v>
      </c>
      <c r="G701" s="35" t="n">
        <v>0</v>
      </c>
      <c r="H701" s="35" t="n">
        <v>2540</v>
      </c>
      <c r="I701" s="28" t="str">
        <f aca="false">INDEX(Campaigns!$C$2:$C$31,MATCH(B701,Campaigns!$A$2:$A$31,0))</f>
        <v>TikTok Ads</v>
      </c>
      <c r="J701" s="40" t="n">
        <f aca="false">DATE(YEAR(A701),MONTH(A701),1)</f>
        <v>46235</v>
      </c>
    </row>
    <row r="702" customFormat="false" ht="15" hidden="false" customHeight="false" outlineLevel="0" collapsed="false">
      <c r="A702" s="34" t="n">
        <v>46253</v>
      </c>
      <c r="B702" s="28" t="s">
        <v>130</v>
      </c>
      <c r="C702" s="35" t="n">
        <v>2917</v>
      </c>
      <c r="D702" s="35" t="n">
        <v>260</v>
      </c>
      <c r="E702" s="35" t="n">
        <v>11</v>
      </c>
      <c r="F702" s="35" t="n">
        <v>32</v>
      </c>
      <c r="G702" s="35" t="n">
        <v>102250</v>
      </c>
      <c r="H702" s="35" t="n">
        <v>4201</v>
      </c>
      <c r="I702" s="28" t="str">
        <f aca="false">INDEX(Campaigns!$C$2:$C$31,MATCH(B702,Campaigns!$A$2:$A$31,0))</f>
        <v>WhatsApp Broadcast</v>
      </c>
      <c r="J702" s="40" t="n">
        <f aca="false">DATE(YEAR(A702),MONTH(A702),1)</f>
        <v>46235</v>
      </c>
    </row>
    <row r="703" customFormat="false" ht="15" hidden="false" customHeight="false" outlineLevel="0" collapsed="false">
      <c r="A703" s="34" t="n">
        <v>46253</v>
      </c>
      <c r="B703" s="28" t="s">
        <v>132</v>
      </c>
      <c r="C703" s="35" t="n">
        <v>35410</v>
      </c>
      <c r="D703" s="35" t="n">
        <v>470</v>
      </c>
      <c r="E703" s="35" t="n">
        <v>61</v>
      </c>
      <c r="F703" s="35" t="n">
        <v>6</v>
      </c>
      <c r="G703" s="35" t="n">
        <v>21480</v>
      </c>
      <c r="H703" s="35" t="n">
        <v>9217</v>
      </c>
      <c r="I703" s="28" t="str">
        <f aca="false">INDEX(Campaigns!$C$2:$C$31,MATCH(B703,Campaigns!$A$2:$A$31,0))</f>
        <v>Facebook &amp; Instagram Ads</v>
      </c>
      <c r="J703" s="40" t="n">
        <f aca="false">DATE(YEAR(A703),MONTH(A703),1)</f>
        <v>46235</v>
      </c>
    </row>
    <row r="704" customFormat="false" ht="15" hidden="false" customHeight="false" outlineLevel="0" collapsed="false">
      <c r="A704" s="34" t="n">
        <v>46253</v>
      </c>
      <c r="B704" s="28" t="s">
        <v>134</v>
      </c>
      <c r="C704" s="35" t="n">
        <v>2477</v>
      </c>
      <c r="D704" s="35" t="n">
        <v>149</v>
      </c>
      <c r="E704" s="35" t="n">
        <v>7</v>
      </c>
      <c r="F704" s="35" t="n">
        <v>8</v>
      </c>
      <c r="G704" s="35" t="n">
        <v>24110</v>
      </c>
      <c r="H704" s="35" t="n">
        <v>3373</v>
      </c>
      <c r="I704" s="28" t="str">
        <f aca="false">INDEX(Campaigns!$C$2:$C$31,MATCH(B704,Campaigns!$A$2:$A$31,0))</f>
        <v>WhatsApp Broadcast</v>
      </c>
      <c r="J704" s="40" t="n">
        <f aca="false">DATE(YEAR(A704),MONTH(A704),1)</f>
        <v>46235</v>
      </c>
    </row>
    <row r="705" customFormat="false" ht="15" hidden="false" customHeight="false" outlineLevel="0" collapsed="false">
      <c r="A705" s="34" t="n">
        <v>46253</v>
      </c>
      <c r="B705" s="28" t="s">
        <v>136</v>
      </c>
      <c r="C705" s="35" t="n">
        <v>10232</v>
      </c>
      <c r="D705" s="35" t="n">
        <v>255</v>
      </c>
      <c r="E705" s="35" t="n">
        <v>11</v>
      </c>
      <c r="F705" s="35" t="n">
        <v>9</v>
      </c>
      <c r="G705" s="35" t="n">
        <v>27010</v>
      </c>
      <c r="H705" s="35" t="n">
        <v>3567</v>
      </c>
      <c r="I705" s="28" t="str">
        <f aca="false">INDEX(Campaigns!$C$2:$C$31,MATCH(B705,Campaigns!$A$2:$A$31,0))</f>
        <v>Email</v>
      </c>
      <c r="J705" s="40" t="n">
        <f aca="false">DATE(YEAR(A705),MONTH(A705),1)</f>
        <v>46235</v>
      </c>
    </row>
    <row r="706" customFormat="false" ht="15" hidden="false" customHeight="false" outlineLevel="0" collapsed="false">
      <c r="A706" s="34" t="n">
        <v>46253</v>
      </c>
      <c r="B706" s="28" t="s">
        <v>139</v>
      </c>
      <c r="C706" s="35" t="n">
        <v>16886</v>
      </c>
      <c r="D706" s="35" t="n">
        <v>151</v>
      </c>
      <c r="E706" s="35" t="n">
        <v>4</v>
      </c>
      <c r="F706" s="35" t="n">
        <v>6</v>
      </c>
      <c r="G706" s="35" t="n">
        <v>14650</v>
      </c>
      <c r="H706" s="35" t="n">
        <v>3307</v>
      </c>
      <c r="I706" s="28" t="str">
        <f aca="false">INDEX(Campaigns!$C$2:$C$31,MATCH(B706,Campaigns!$A$2:$A$31,0))</f>
        <v>TikTok Ads</v>
      </c>
      <c r="J706" s="40" t="n">
        <f aca="false">DATE(YEAR(A706),MONTH(A706),1)</f>
        <v>46235</v>
      </c>
    </row>
    <row r="707" customFormat="false" ht="15" hidden="false" customHeight="false" outlineLevel="0" collapsed="false">
      <c r="A707" s="34" t="n">
        <v>46253</v>
      </c>
      <c r="B707" s="28" t="s">
        <v>141</v>
      </c>
      <c r="C707" s="35" t="n">
        <v>8114</v>
      </c>
      <c r="D707" s="35" t="n">
        <v>282</v>
      </c>
      <c r="E707" s="35" t="n">
        <v>13</v>
      </c>
      <c r="F707" s="35" t="n">
        <v>9</v>
      </c>
      <c r="G707" s="35" t="n">
        <v>31670</v>
      </c>
      <c r="H707" s="35" t="n">
        <v>2652</v>
      </c>
      <c r="I707" s="28" t="str">
        <f aca="false">INDEX(Campaigns!$C$2:$C$31,MATCH(B707,Campaigns!$A$2:$A$31,0))</f>
        <v>Email</v>
      </c>
      <c r="J707" s="40" t="n">
        <f aca="false">DATE(YEAR(A707),MONTH(A707),1)</f>
        <v>46235</v>
      </c>
    </row>
    <row r="708" customFormat="false" ht="15" hidden="false" customHeight="false" outlineLevel="0" collapsed="false">
      <c r="A708" s="34" t="n">
        <v>46253</v>
      </c>
      <c r="B708" s="28" t="s">
        <v>145</v>
      </c>
      <c r="C708" s="35" t="n">
        <v>8092</v>
      </c>
      <c r="D708" s="35" t="n">
        <v>417</v>
      </c>
      <c r="E708" s="35" t="n">
        <v>12</v>
      </c>
      <c r="F708" s="35" t="n">
        <v>25</v>
      </c>
      <c r="G708" s="35" t="n">
        <v>89620</v>
      </c>
      <c r="H708" s="35" t="n">
        <v>6878</v>
      </c>
      <c r="I708" s="28" t="str">
        <f aca="false">INDEX(Campaigns!$C$2:$C$31,MATCH(B708,Campaigns!$A$2:$A$31,0))</f>
        <v>Google Search Ads</v>
      </c>
      <c r="J708" s="40" t="n">
        <f aca="false">DATE(YEAR(A708),MONTH(A708),1)</f>
        <v>46235</v>
      </c>
    </row>
    <row r="709" customFormat="false" ht="15" hidden="false" customHeight="false" outlineLevel="0" collapsed="false">
      <c r="A709" s="34" t="n">
        <v>46253</v>
      </c>
      <c r="B709" s="28" t="s">
        <v>147</v>
      </c>
      <c r="C709" s="35" t="n">
        <v>24265</v>
      </c>
      <c r="D709" s="35" t="n">
        <v>321</v>
      </c>
      <c r="E709" s="35" t="n">
        <v>7</v>
      </c>
      <c r="F709" s="35" t="n">
        <v>1</v>
      </c>
      <c r="G709" s="35" t="n">
        <v>5100</v>
      </c>
      <c r="H709" s="35" t="n">
        <v>5915</v>
      </c>
      <c r="I709" s="28" t="str">
        <f aca="false">INDEX(Campaigns!$C$2:$C$31,MATCH(B709,Campaigns!$A$2:$A$31,0))</f>
        <v>Facebook &amp; Instagram Ads</v>
      </c>
      <c r="J709" s="40" t="n">
        <f aca="false">DATE(YEAR(A709),MONTH(A709),1)</f>
        <v>46235</v>
      </c>
    </row>
    <row r="710" customFormat="false" ht="15" hidden="false" customHeight="false" outlineLevel="0" collapsed="false">
      <c r="A710" s="34" t="n">
        <v>46253</v>
      </c>
      <c r="B710" s="28" t="s">
        <v>152</v>
      </c>
      <c r="C710" s="35" t="n">
        <v>7027</v>
      </c>
      <c r="D710" s="35" t="n">
        <v>67</v>
      </c>
      <c r="E710" s="35" t="n">
        <v>4</v>
      </c>
      <c r="F710" s="35" t="n">
        <v>0</v>
      </c>
      <c r="G710" s="35" t="n">
        <v>0</v>
      </c>
      <c r="H710" s="35" t="n">
        <v>4633</v>
      </c>
      <c r="I710" s="28" t="str">
        <f aca="false">INDEX(Campaigns!$C$2:$C$31,MATCH(B710,Campaigns!$A$2:$A$31,0))</f>
        <v>Influencer Partnerships</v>
      </c>
      <c r="J710" s="40" t="n">
        <f aca="false">DATE(YEAR(A710),MONTH(A710),1)</f>
        <v>46235</v>
      </c>
    </row>
    <row r="711" customFormat="false" ht="15" hidden="false" customHeight="false" outlineLevel="0" collapsed="false">
      <c r="A711" s="34" t="n">
        <v>46253</v>
      </c>
      <c r="B711" s="28" t="s">
        <v>154</v>
      </c>
      <c r="C711" s="35" t="n">
        <v>5978</v>
      </c>
      <c r="D711" s="35" t="n">
        <v>60</v>
      </c>
      <c r="E711" s="35" t="n">
        <v>3</v>
      </c>
      <c r="F711" s="35" t="n">
        <v>0</v>
      </c>
      <c r="G711" s="35" t="n">
        <v>0</v>
      </c>
      <c r="H711" s="35" t="n">
        <v>3972</v>
      </c>
      <c r="I711" s="28" t="str">
        <f aca="false">INDEX(Campaigns!$C$2:$C$31,MATCH(B711,Campaigns!$A$2:$A$31,0))</f>
        <v>Influencer Partnerships</v>
      </c>
      <c r="J711" s="40" t="n">
        <f aca="false">DATE(YEAR(A711),MONTH(A711),1)</f>
        <v>46235</v>
      </c>
    </row>
    <row r="712" customFormat="false" ht="15" hidden="false" customHeight="false" outlineLevel="0" collapsed="false">
      <c r="A712" s="34" t="n">
        <v>46253</v>
      </c>
      <c r="B712" s="28" t="s">
        <v>156</v>
      </c>
      <c r="C712" s="35" t="n">
        <v>38759</v>
      </c>
      <c r="D712" s="35" t="n">
        <v>371</v>
      </c>
      <c r="E712" s="35" t="n">
        <v>52</v>
      </c>
      <c r="F712" s="35" t="n">
        <v>5</v>
      </c>
      <c r="G712" s="35" t="n">
        <v>11340</v>
      </c>
      <c r="H712" s="35" t="n">
        <v>6921</v>
      </c>
      <c r="I712" s="28" t="str">
        <f aca="false">INDEX(Campaigns!$C$2:$C$31,MATCH(B712,Campaigns!$A$2:$A$31,0))</f>
        <v>TikTok Ads</v>
      </c>
      <c r="J712" s="40" t="n">
        <f aca="false">DATE(YEAR(A712),MONTH(A712),1)</f>
        <v>46235</v>
      </c>
    </row>
    <row r="713" customFormat="false" ht="15" hidden="false" customHeight="false" outlineLevel="0" collapsed="false">
      <c r="A713" s="34" t="n">
        <v>46253</v>
      </c>
      <c r="B713" s="28" t="s">
        <v>158</v>
      </c>
      <c r="C713" s="35" t="n">
        <v>14808</v>
      </c>
      <c r="D713" s="35" t="n">
        <v>134</v>
      </c>
      <c r="E713" s="35" t="n">
        <v>26</v>
      </c>
      <c r="F713" s="35" t="n">
        <v>4</v>
      </c>
      <c r="G713" s="35" t="n">
        <v>15890</v>
      </c>
      <c r="H713" s="35" t="n">
        <v>9495</v>
      </c>
      <c r="I713" s="28" t="str">
        <f aca="false">INDEX(Campaigns!$C$2:$C$31,MATCH(B713,Campaigns!$A$2:$A$31,0))</f>
        <v>Influencer Partnerships</v>
      </c>
      <c r="J713" s="40" t="n">
        <f aca="false">DATE(YEAR(A713),MONTH(A713),1)</f>
        <v>46235</v>
      </c>
    </row>
    <row r="714" customFormat="false" ht="15" hidden="false" customHeight="false" outlineLevel="0" collapsed="false">
      <c r="A714" s="34" t="n">
        <v>46253</v>
      </c>
      <c r="B714" s="28" t="s">
        <v>159</v>
      </c>
      <c r="C714" s="35" t="n">
        <v>29643</v>
      </c>
      <c r="D714" s="35" t="n">
        <v>454</v>
      </c>
      <c r="E714" s="35" t="n">
        <v>52</v>
      </c>
      <c r="F714" s="35" t="n">
        <v>4</v>
      </c>
      <c r="G714" s="35" t="n">
        <v>11250</v>
      </c>
      <c r="H714" s="35" t="n">
        <v>7276</v>
      </c>
      <c r="I714" s="28" t="str">
        <f aca="false">INDEX(Campaigns!$C$2:$C$31,MATCH(B714,Campaigns!$A$2:$A$31,0))</f>
        <v>Facebook &amp; Instagram Ads</v>
      </c>
      <c r="J714" s="40" t="n">
        <f aca="false">DATE(YEAR(A714),MONTH(A714),1)</f>
        <v>46235</v>
      </c>
    </row>
    <row r="715" customFormat="false" ht="15" hidden="false" customHeight="false" outlineLevel="0" collapsed="false">
      <c r="A715" s="34" t="n">
        <v>46253</v>
      </c>
      <c r="B715" s="28" t="s">
        <v>163</v>
      </c>
      <c r="C715" s="35" t="n">
        <v>1391</v>
      </c>
      <c r="D715" s="35" t="n">
        <v>47</v>
      </c>
      <c r="E715" s="35" t="n">
        <v>3</v>
      </c>
      <c r="F715" s="35" t="n">
        <v>4</v>
      </c>
      <c r="G715" s="35" t="n">
        <v>13230</v>
      </c>
      <c r="H715" s="35" t="n">
        <v>511</v>
      </c>
      <c r="I715" s="28" t="str">
        <f aca="false">INDEX(Campaigns!$C$2:$C$31,MATCH(B715,Campaigns!$A$2:$A$31,0))</f>
        <v>Email</v>
      </c>
      <c r="J715" s="40" t="n">
        <f aca="false">DATE(YEAR(A715),MONTH(A715),1)</f>
        <v>46235</v>
      </c>
    </row>
    <row r="716" customFormat="false" ht="15" hidden="false" customHeight="false" outlineLevel="0" collapsed="false">
      <c r="A716" s="34" t="n">
        <v>46254</v>
      </c>
      <c r="B716" s="28" t="s">
        <v>105</v>
      </c>
      <c r="C716" s="35" t="n">
        <v>5455</v>
      </c>
      <c r="D716" s="35" t="n">
        <v>217</v>
      </c>
      <c r="E716" s="35" t="n">
        <v>4</v>
      </c>
      <c r="F716" s="35" t="n">
        <v>6</v>
      </c>
      <c r="G716" s="35" t="n">
        <v>23670</v>
      </c>
      <c r="H716" s="35" t="n">
        <v>5113</v>
      </c>
      <c r="I716" s="28" t="str">
        <f aca="false">INDEX(Campaigns!$C$2:$C$31,MATCH(B716,Campaigns!$A$2:$A$31,0))</f>
        <v>Google Search Ads</v>
      </c>
      <c r="J716" s="40" t="n">
        <f aca="false">DATE(YEAR(A716),MONTH(A716),1)</f>
        <v>46235</v>
      </c>
    </row>
    <row r="717" customFormat="false" ht="15" hidden="false" customHeight="false" outlineLevel="0" collapsed="false">
      <c r="A717" s="34" t="n">
        <v>46254</v>
      </c>
      <c r="B717" s="28" t="s">
        <v>108</v>
      </c>
      <c r="C717" s="35" t="n">
        <v>7403</v>
      </c>
      <c r="D717" s="35" t="n">
        <v>234</v>
      </c>
      <c r="E717" s="35" t="n">
        <v>7</v>
      </c>
      <c r="F717" s="35" t="n">
        <v>15</v>
      </c>
      <c r="G717" s="35" t="n">
        <v>46640</v>
      </c>
      <c r="H717" s="35" t="n">
        <v>2502</v>
      </c>
      <c r="I717" s="28" t="str">
        <f aca="false">INDEX(Campaigns!$C$2:$C$31,MATCH(B717,Campaigns!$A$2:$A$31,0))</f>
        <v>Email</v>
      </c>
      <c r="J717" s="40" t="n">
        <f aca="false">DATE(YEAR(A717),MONTH(A717),1)</f>
        <v>46235</v>
      </c>
    </row>
    <row r="718" customFormat="false" ht="15" hidden="false" customHeight="false" outlineLevel="0" collapsed="false">
      <c r="A718" s="34" t="n">
        <v>46254</v>
      </c>
      <c r="B718" s="28" t="s">
        <v>110</v>
      </c>
      <c r="C718" s="35" t="n">
        <v>13251</v>
      </c>
      <c r="D718" s="35" t="n">
        <v>121</v>
      </c>
      <c r="E718" s="35" t="n">
        <v>17</v>
      </c>
      <c r="F718" s="35" t="n">
        <v>2</v>
      </c>
      <c r="G718" s="35" t="n">
        <v>5160</v>
      </c>
      <c r="H718" s="35" t="n">
        <v>8476</v>
      </c>
      <c r="I718" s="28" t="str">
        <f aca="false">INDEX(Campaigns!$C$2:$C$31,MATCH(B718,Campaigns!$A$2:$A$31,0))</f>
        <v>Influencer Partnerships</v>
      </c>
      <c r="J718" s="40" t="n">
        <f aca="false">DATE(YEAR(A718),MONTH(A718),1)</f>
        <v>46235</v>
      </c>
    </row>
    <row r="719" customFormat="false" ht="15" hidden="false" customHeight="false" outlineLevel="0" collapsed="false">
      <c r="A719" s="34" t="n">
        <v>46254</v>
      </c>
      <c r="B719" s="28" t="s">
        <v>114</v>
      </c>
      <c r="C719" s="35" t="n">
        <v>786</v>
      </c>
      <c r="D719" s="35" t="n">
        <v>44</v>
      </c>
      <c r="E719" s="35" t="n">
        <v>0</v>
      </c>
      <c r="F719" s="35" t="n">
        <v>3</v>
      </c>
      <c r="G719" s="35" t="n">
        <v>9680</v>
      </c>
      <c r="H719" s="35" t="n">
        <v>1055</v>
      </c>
      <c r="I719" s="28" t="str">
        <f aca="false">INDEX(Campaigns!$C$2:$C$31,MATCH(B719,Campaigns!$A$2:$A$31,0))</f>
        <v>WhatsApp Broadcast</v>
      </c>
      <c r="J719" s="40" t="n">
        <f aca="false">DATE(YEAR(A719),MONTH(A719),1)</f>
        <v>46235</v>
      </c>
    </row>
    <row r="720" customFormat="false" ht="15" hidden="false" customHeight="false" outlineLevel="0" collapsed="false">
      <c r="A720" s="34" t="n">
        <v>46254</v>
      </c>
      <c r="B720" s="28" t="s">
        <v>116</v>
      </c>
      <c r="C720" s="35" t="n">
        <v>21761</v>
      </c>
      <c r="D720" s="35" t="n">
        <v>261</v>
      </c>
      <c r="E720" s="35" t="n">
        <v>10</v>
      </c>
      <c r="F720" s="35" t="n">
        <v>4</v>
      </c>
      <c r="G720" s="35" t="n">
        <v>13010</v>
      </c>
      <c r="H720" s="35" t="n">
        <v>5207</v>
      </c>
      <c r="I720" s="28" t="str">
        <f aca="false">INDEX(Campaigns!$C$2:$C$31,MATCH(B720,Campaigns!$A$2:$A$31,0))</f>
        <v>Facebook &amp; Instagram Ads</v>
      </c>
      <c r="J720" s="40" t="n">
        <f aca="false">DATE(YEAR(A720),MONTH(A720),1)</f>
        <v>46235</v>
      </c>
    </row>
    <row r="721" customFormat="false" ht="15" hidden="false" customHeight="false" outlineLevel="0" collapsed="false">
      <c r="A721" s="34" t="n">
        <v>46254</v>
      </c>
      <c r="B721" s="28" t="s">
        <v>118</v>
      </c>
      <c r="C721" s="35" t="n">
        <v>3098</v>
      </c>
      <c r="D721" s="35" t="n">
        <v>163</v>
      </c>
      <c r="E721" s="35" t="n">
        <v>4</v>
      </c>
      <c r="F721" s="35" t="n">
        <v>7</v>
      </c>
      <c r="G721" s="35" t="n">
        <v>29060</v>
      </c>
      <c r="H721" s="35" t="n">
        <v>2809</v>
      </c>
      <c r="I721" s="28" t="str">
        <f aca="false">INDEX(Campaigns!$C$2:$C$31,MATCH(B721,Campaigns!$A$2:$A$31,0))</f>
        <v>Google Search Ads</v>
      </c>
      <c r="J721" s="40" t="n">
        <f aca="false">DATE(YEAR(A721),MONTH(A721),1)</f>
        <v>46235</v>
      </c>
    </row>
    <row r="722" customFormat="false" ht="15" hidden="false" customHeight="false" outlineLevel="0" collapsed="false">
      <c r="A722" s="34" t="n">
        <v>46254</v>
      </c>
      <c r="B722" s="28" t="s">
        <v>124</v>
      </c>
      <c r="C722" s="35" t="n">
        <v>7258</v>
      </c>
      <c r="D722" s="35" t="n">
        <v>160</v>
      </c>
      <c r="E722" s="35" t="n">
        <v>7</v>
      </c>
      <c r="F722" s="35" t="n">
        <v>2</v>
      </c>
      <c r="G722" s="35" t="n">
        <v>4690</v>
      </c>
      <c r="H722" s="35" t="n">
        <v>2344</v>
      </c>
      <c r="I722" s="28" t="str">
        <f aca="false">INDEX(Campaigns!$C$2:$C$31,MATCH(B722,Campaigns!$A$2:$A$31,0))</f>
        <v>Email</v>
      </c>
      <c r="J722" s="40" t="n">
        <f aca="false">DATE(YEAR(A722),MONTH(A722),1)</f>
        <v>46235</v>
      </c>
    </row>
    <row r="723" customFormat="false" ht="15" hidden="false" customHeight="false" outlineLevel="0" collapsed="false">
      <c r="A723" s="34" t="n">
        <v>46254</v>
      </c>
      <c r="B723" s="28" t="s">
        <v>126</v>
      </c>
      <c r="C723" s="35" t="n">
        <v>15396</v>
      </c>
      <c r="D723" s="35" t="n">
        <v>94</v>
      </c>
      <c r="E723" s="35" t="n">
        <v>3</v>
      </c>
      <c r="F723" s="35" t="n">
        <v>0</v>
      </c>
      <c r="G723" s="35" t="n">
        <v>0</v>
      </c>
      <c r="H723" s="35" t="n">
        <v>2846</v>
      </c>
      <c r="I723" s="28" t="str">
        <f aca="false">INDEX(Campaigns!$C$2:$C$31,MATCH(B723,Campaigns!$A$2:$A$31,0))</f>
        <v>TikTok Ads</v>
      </c>
      <c r="J723" s="40" t="n">
        <f aca="false">DATE(YEAR(A723),MONTH(A723),1)</f>
        <v>46235</v>
      </c>
    </row>
    <row r="724" customFormat="false" ht="15" hidden="false" customHeight="false" outlineLevel="0" collapsed="false">
      <c r="A724" s="34" t="n">
        <v>46254</v>
      </c>
      <c r="B724" s="28" t="s">
        <v>130</v>
      </c>
      <c r="C724" s="35" t="n">
        <v>2658</v>
      </c>
      <c r="D724" s="35" t="n">
        <v>238</v>
      </c>
      <c r="E724" s="35" t="n">
        <v>9</v>
      </c>
      <c r="F724" s="35" t="n">
        <v>26</v>
      </c>
      <c r="G724" s="35" t="n">
        <v>76020</v>
      </c>
      <c r="H724" s="35" t="n">
        <v>4132</v>
      </c>
      <c r="I724" s="28" t="str">
        <f aca="false">INDEX(Campaigns!$C$2:$C$31,MATCH(B724,Campaigns!$A$2:$A$31,0))</f>
        <v>WhatsApp Broadcast</v>
      </c>
      <c r="J724" s="40" t="n">
        <f aca="false">DATE(YEAR(A724),MONTH(A724),1)</f>
        <v>46235</v>
      </c>
    </row>
    <row r="725" customFormat="false" ht="15" hidden="false" customHeight="false" outlineLevel="0" collapsed="false">
      <c r="A725" s="34" t="n">
        <v>46254</v>
      </c>
      <c r="B725" s="28" t="s">
        <v>132</v>
      </c>
      <c r="C725" s="35" t="n">
        <v>31574</v>
      </c>
      <c r="D725" s="35" t="n">
        <v>437</v>
      </c>
      <c r="E725" s="35" t="n">
        <v>55</v>
      </c>
      <c r="F725" s="35" t="n">
        <v>6</v>
      </c>
      <c r="G725" s="35" t="n">
        <v>21760</v>
      </c>
      <c r="H725" s="35" t="n">
        <v>8172</v>
      </c>
      <c r="I725" s="28" t="str">
        <f aca="false">INDEX(Campaigns!$C$2:$C$31,MATCH(B725,Campaigns!$A$2:$A$31,0))</f>
        <v>Facebook &amp; Instagram Ads</v>
      </c>
      <c r="J725" s="40" t="n">
        <f aca="false">DATE(YEAR(A725),MONTH(A725),1)</f>
        <v>46235</v>
      </c>
    </row>
    <row r="726" customFormat="false" ht="15" hidden="false" customHeight="false" outlineLevel="0" collapsed="false">
      <c r="A726" s="34" t="n">
        <v>46254</v>
      </c>
      <c r="B726" s="28" t="s">
        <v>136</v>
      </c>
      <c r="C726" s="35" t="n">
        <v>10677</v>
      </c>
      <c r="D726" s="35" t="n">
        <v>298</v>
      </c>
      <c r="E726" s="35" t="n">
        <v>17</v>
      </c>
      <c r="F726" s="35" t="n">
        <v>9</v>
      </c>
      <c r="G726" s="35" t="n">
        <v>29920</v>
      </c>
      <c r="H726" s="35" t="n">
        <v>3668</v>
      </c>
      <c r="I726" s="28" t="str">
        <f aca="false">INDEX(Campaigns!$C$2:$C$31,MATCH(B726,Campaigns!$A$2:$A$31,0))</f>
        <v>Email</v>
      </c>
      <c r="J726" s="40" t="n">
        <f aca="false">DATE(YEAR(A726),MONTH(A726),1)</f>
        <v>46235</v>
      </c>
    </row>
    <row r="727" customFormat="false" ht="15" hidden="false" customHeight="false" outlineLevel="0" collapsed="false">
      <c r="A727" s="34" t="n">
        <v>46254</v>
      </c>
      <c r="B727" s="28" t="s">
        <v>139</v>
      </c>
      <c r="C727" s="35" t="n">
        <v>15489</v>
      </c>
      <c r="D727" s="35" t="n">
        <v>163</v>
      </c>
      <c r="E727" s="35" t="n">
        <v>8</v>
      </c>
      <c r="F727" s="35" t="n">
        <v>3</v>
      </c>
      <c r="G727" s="35" t="n">
        <v>7730</v>
      </c>
      <c r="H727" s="35" t="n">
        <v>2805</v>
      </c>
      <c r="I727" s="28" t="str">
        <f aca="false">INDEX(Campaigns!$C$2:$C$31,MATCH(B727,Campaigns!$A$2:$A$31,0))</f>
        <v>TikTok Ads</v>
      </c>
      <c r="J727" s="40" t="n">
        <f aca="false">DATE(YEAR(A727),MONTH(A727),1)</f>
        <v>46235</v>
      </c>
    </row>
    <row r="728" customFormat="false" ht="15" hidden="false" customHeight="false" outlineLevel="0" collapsed="false">
      <c r="A728" s="34" t="n">
        <v>46254</v>
      </c>
      <c r="B728" s="28" t="s">
        <v>141</v>
      </c>
      <c r="C728" s="35" t="n">
        <v>7277</v>
      </c>
      <c r="D728" s="35" t="n">
        <v>237</v>
      </c>
      <c r="E728" s="35" t="n">
        <v>5</v>
      </c>
      <c r="F728" s="35" t="n">
        <v>9</v>
      </c>
      <c r="G728" s="35" t="n">
        <v>26880</v>
      </c>
      <c r="H728" s="35" t="n">
        <v>2786</v>
      </c>
      <c r="I728" s="28" t="str">
        <f aca="false">INDEX(Campaigns!$C$2:$C$31,MATCH(B728,Campaigns!$A$2:$A$31,0))</f>
        <v>Email</v>
      </c>
      <c r="J728" s="40" t="n">
        <f aca="false">DATE(YEAR(A728),MONTH(A728),1)</f>
        <v>46235</v>
      </c>
    </row>
    <row r="729" customFormat="false" ht="15" hidden="false" customHeight="false" outlineLevel="0" collapsed="false">
      <c r="A729" s="34" t="n">
        <v>46254</v>
      </c>
      <c r="B729" s="28" t="s">
        <v>145</v>
      </c>
      <c r="C729" s="35" t="n">
        <v>7498</v>
      </c>
      <c r="D729" s="35" t="n">
        <v>384</v>
      </c>
      <c r="E729" s="35" t="n">
        <v>18</v>
      </c>
      <c r="F729" s="35" t="n">
        <v>23</v>
      </c>
      <c r="G729" s="35" t="n">
        <v>96860</v>
      </c>
      <c r="H729" s="35" t="n">
        <v>6723</v>
      </c>
      <c r="I729" s="28" t="str">
        <f aca="false">INDEX(Campaigns!$C$2:$C$31,MATCH(B729,Campaigns!$A$2:$A$31,0))</f>
        <v>Google Search Ads</v>
      </c>
      <c r="J729" s="40" t="n">
        <f aca="false">DATE(YEAR(A729),MONTH(A729),1)</f>
        <v>46235</v>
      </c>
    </row>
    <row r="730" customFormat="false" ht="15" hidden="false" customHeight="false" outlineLevel="0" collapsed="false">
      <c r="A730" s="34" t="n">
        <v>46254</v>
      </c>
      <c r="B730" s="28" t="s">
        <v>147</v>
      </c>
      <c r="C730" s="35" t="n">
        <v>22631</v>
      </c>
      <c r="D730" s="35" t="n">
        <v>303</v>
      </c>
      <c r="E730" s="35" t="n">
        <v>6</v>
      </c>
      <c r="F730" s="35" t="n">
        <v>0</v>
      </c>
      <c r="G730" s="35" t="n">
        <v>0</v>
      </c>
      <c r="H730" s="35" t="n">
        <v>5561</v>
      </c>
      <c r="I730" s="28" t="str">
        <f aca="false">INDEX(Campaigns!$C$2:$C$31,MATCH(B730,Campaigns!$A$2:$A$31,0))</f>
        <v>Facebook &amp; Instagram Ads</v>
      </c>
      <c r="J730" s="40" t="n">
        <f aca="false">DATE(YEAR(A730),MONTH(A730),1)</f>
        <v>46235</v>
      </c>
    </row>
    <row r="731" customFormat="false" ht="15" hidden="false" customHeight="false" outlineLevel="0" collapsed="false">
      <c r="A731" s="34" t="n">
        <v>46254</v>
      </c>
      <c r="B731" s="28" t="s">
        <v>154</v>
      </c>
      <c r="C731" s="35" t="n">
        <v>5932</v>
      </c>
      <c r="D731" s="35" t="n">
        <v>55</v>
      </c>
      <c r="E731" s="35" t="n">
        <v>3</v>
      </c>
      <c r="F731" s="35" t="n">
        <v>3</v>
      </c>
      <c r="G731" s="35" t="n">
        <v>13010</v>
      </c>
      <c r="H731" s="35" t="n">
        <v>3586</v>
      </c>
      <c r="I731" s="28" t="str">
        <f aca="false">INDEX(Campaigns!$C$2:$C$31,MATCH(B731,Campaigns!$A$2:$A$31,0))</f>
        <v>Influencer Partnerships</v>
      </c>
      <c r="J731" s="40" t="n">
        <f aca="false">DATE(YEAR(A731),MONTH(A731),1)</f>
        <v>46235</v>
      </c>
    </row>
    <row r="732" customFormat="false" ht="15" hidden="false" customHeight="false" outlineLevel="0" collapsed="false">
      <c r="A732" s="34" t="n">
        <v>46254</v>
      </c>
      <c r="B732" s="28" t="s">
        <v>156</v>
      </c>
      <c r="C732" s="35" t="n">
        <v>50909</v>
      </c>
      <c r="D732" s="35" t="n">
        <v>416</v>
      </c>
      <c r="E732" s="35" t="n">
        <v>55</v>
      </c>
      <c r="F732" s="35" t="n">
        <v>8</v>
      </c>
      <c r="G732" s="35" t="n">
        <v>24420</v>
      </c>
      <c r="H732" s="35" t="n">
        <v>8562</v>
      </c>
      <c r="I732" s="28" t="str">
        <f aca="false">INDEX(Campaigns!$C$2:$C$31,MATCH(B732,Campaigns!$A$2:$A$31,0))</f>
        <v>TikTok Ads</v>
      </c>
      <c r="J732" s="40" t="n">
        <f aca="false">DATE(YEAR(A732),MONTH(A732),1)</f>
        <v>46235</v>
      </c>
    </row>
    <row r="733" customFormat="false" ht="15" hidden="false" customHeight="false" outlineLevel="0" collapsed="false">
      <c r="A733" s="34" t="n">
        <v>46254</v>
      </c>
      <c r="B733" s="28" t="s">
        <v>158</v>
      </c>
      <c r="C733" s="35" t="n">
        <v>15693</v>
      </c>
      <c r="D733" s="35" t="n">
        <v>166</v>
      </c>
      <c r="E733" s="35" t="n">
        <v>21</v>
      </c>
      <c r="F733" s="35" t="n">
        <v>3</v>
      </c>
      <c r="G733" s="35" t="n">
        <v>8070</v>
      </c>
      <c r="H733" s="35" t="n">
        <v>9376</v>
      </c>
      <c r="I733" s="28" t="str">
        <f aca="false">INDEX(Campaigns!$C$2:$C$31,MATCH(B733,Campaigns!$A$2:$A$31,0))</f>
        <v>Influencer Partnerships</v>
      </c>
      <c r="J733" s="40" t="n">
        <f aca="false">DATE(YEAR(A733),MONTH(A733),1)</f>
        <v>46235</v>
      </c>
    </row>
    <row r="734" customFormat="false" ht="15" hidden="false" customHeight="false" outlineLevel="0" collapsed="false">
      <c r="A734" s="34" t="n">
        <v>46254</v>
      </c>
      <c r="B734" s="28" t="s">
        <v>159</v>
      </c>
      <c r="C734" s="35" t="n">
        <v>26957</v>
      </c>
      <c r="D734" s="35" t="n">
        <v>391</v>
      </c>
      <c r="E734" s="35" t="n">
        <v>50</v>
      </c>
      <c r="F734" s="35" t="n">
        <v>7</v>
      </c>
      <c r="G734" s="35" t="n">
        <v>21650</v>
      </c>
      <c r="H734" s="35" t="n">
        <v>6356</v>
      </c>
      <c r="I734" s="28" t="str">
        <f aca="false">INDEX(Campaigns!$C$2:$C$31,MATCH(B734,Campaigns!$A$2:$A$31,0))</f>
        <v>Facebook &amp; Instagram Ads</v>
      </c>
      <c r="J734" s="40" t="n">
        <f aca="false">DATE(YEAR(A734),MONTH(A734),1)</f>
        <v>46235</v>
      </c>
    </row>
    <row r="735" customFormat="false" ht="15" hidden="false" customHeight="false" outlineLevel="0" collapsed="false">
      <c r="A735" s="34" t="n">
        <v>46254</v>
      </c>
      <c r="B735" s="28" t="s">
        <v>161</v>
      </c>
      <c r="C735" s="35" t="n">
        <v>40177</v>
      </c>
      <c r="D735" s="35" t="n">
        <v>583</v>
      </c>
      <c r="E735" s="35" t="n">
        <v>14</v>
      </c>
      <c r="F735" s="35" t="n">
        <v>1</v>
      </c>
      <c r="G735" s="35" t="n">
        <v>4030</v>
      </c>
      <c r="H735" s="35" t="n">
        <v>10613</v>
      </c>
      <c r="I735" s="28" t="str">
        <f aca="false">INDEX(Campaigns!$C$2:$C$31,MATCH(B735,Campaigns!$A$2:$A$31,0))</f>
        <v>Facebook &amp; Instagram Ads</v>
      </c>
      <c r="J735" s="40" t="n">
        <f aca="false">DATE(YEAR(A735),MONTH(A735),1)</f>
        <v>46235</v>
      </c>
    </row>
    <row r="736" customFormat="false" ht="15" hidden="false" customHeight="false" outlineLevel="0" collapsed="false">
      <c r="A736" s="34" t="n">
        <v>46254</v>
      </c>
      <c r="B736" s="28" t="s">
        <v>163</v>
      </c>
      <c r="C736" s="35" t="n">
        <v>1557</v>
      </c>
      <c r="D736" s="35" t="n">
        <v>55</v>
      </c>
      <c r="E736" s="35" t="n">
        <v>1</v>
      </c>
      <c r="F736" s="35" t="n">
        <v>1</v>
      </c>
      <c r="G736" s="35" t="n">
        <v>1940</v>
      </c>
      <c r="H736" s="35" t="n">
        <v>523</v>
      </c>
      <c r="I736" s="28" t="str">
        <f aca="false">INDEX(Campaigns!$C$2:$C$31,MATCH(B736,Campaigns!$A$2:$A$31,0))</f>
        <v>Email</v>
      </c>
      <c r="J736" s="40" t="n">
        <f aca="false">DATE(YEAR(A736),MONTH(A736),1)</f>
        <v>46235</v>
      </c>
    </row>
    <row r="737" customFormat="false" ht="15" hidden="false" customHeight="false" outlineLevel="0" collapsed="false">
      <c r="A737" s="34" t="n">
        <v>46255</v>
      </c>
      <c r="B737" s="28" t="s">
        <v>105</v>
      </c>
      <c r="C737" s="35" t="n">
        <v>5649</v>
      </c>
      <c r="D737" s="35" t="n">
        <v>230</v>
      </c>
      <c r="E737" s="35" t="n">
        <v>8</v>
      </c>
      <c r="F737" s="35" t="n">
        <v>7</v>
      </c>
      <c r="G737" s="35" t="n">
        <v>24240</v>
      </c>
      <c r="H737" s="35" t="n">
        <v>5246</v>
      </c>
      <c r="I737" s="28" t="str">
        <f aca="false">INDEX(Campaigns!$C$2:$C$31,MATCH(B737,Campaigns!$A$2:$A$31,0))</f>
        <v>Google Search Ads</v>
      </c>
      <c r="J737" s="40" t="n">
        <f aca="false">DATE(YEAR(A737),MONTH(A737),1)</f>
        <v>46235</v>
      </c>
    </row>
    <row r="738" customFormat="false" ht="15" hidden="false" customHeight="false" outlineLevel="0" collapsed="false">
      <c r="A738" s="34" t="n">
        <v>46255</v>
      </c>
      <c r="B738" s="28" t="s">
        <v>108</v>
      </c>
      <c r="C738" s="35" t="n">
        <v>7765</v>
      </c>
      <c r="D738" s="35" t="n">
        <v>255</v>
      </c>
      <c r="E738" s="35" t="n">
        <v>15</v>
      </c>
      <c r="F738" s="35" t="n">
        <v>9</v>
      </c>
      <c r="G738" s="35" t="n">
        <v>27980</v>
      </c>
      <c r="H738" s="35" t="n">
        <v>2791</v>
      </c>
      <c r="I738" s="28" t="str">
        <f aca="false">INDEX(Campaigns!$C$2:$C$31,MATCH(B738,Campaigns!$A$2:$A$31,0))</f>
        <v>Email</v>
      </c>
      <c r="J738" s="40" t="n">
        <f aca="false">DATE(YEAR(A738),MONTH(A738),1)</f>
        <v>46235</v>
      </c>
    </row>
    <row r="739" customFormat="false" ht="15" hidden="false" customHeight="false" outlineLevel="0" collapsed="false">
      <c r="A739" s="34" t="n">
        <v>46255</v>
      </c>
      <c r="B739" s="28" t="s">
        <v>110</v>
      </c>
      <c r="C739" s="35" t="n">
        <v>17042</v>
      </c>
      <c r="D739" s="35" t="n">
        <v>165</v>
      </c>
      <c r="E739" s="35" t="n">
        <v>22</v>
      </c>
      <c r="F739" s="35" t="n">
        <v>2</v>
      </c>
      <c r="G739" s="35" t="n">
        <v>8670</v>
      </c>
      <c r="H739" s="35" t="n">
        <v>9623</v>
      </c>
      <c r="I739" s="28" t="str">
        <f aca="false">INDEX(Campaigns!$C$2:$C$31,MATCH(B739,Campaigns!$A$2:$A$31,0))</f>
        <v>Influencer Partnerships</v>
      </c>
      <c r="J739" s="40" t="n">
        <f aca="false">DATE(YEAR(A739),MONTH(A739),1)</f>
        <v>46235</v>
      </c>
    </row>
    <row r="740" customFormat="false" ht="15" hidden="false" customHeight="false" outlineLevel="0" collapsed="false">
      <c r="A740" s="34" t="n">
        <v>46255</v>
      </c>
      <c r="B740" s="28" t="s">
        <v>114</v>
      </c>
      <c r="C740" s="35" t="n">
        <v>742</v>
      </c>
      <c r="D740" s="35" t="n">
        <v>38</v>
      </c>
      <c r="E740" s="35" t="n">
        <v>1</v>
      </c>
      <c r="F740" s="35" t="n">
        <v>3</v>
      </c>
      <c r="G740" s="35" t="n">
        <v>7030</v>
      </c>
      <c r="H740" s="35" t="n">
        <v>979</v>
      </c>
      <c r="I740" s="28" t="str">
        <f aca="false">INDEX(Campaigns!$C$2:$C$31,MATCH(B740,Campaigns!$A$2:$A$31,0))</f>
        <v>WhatsApp Broadcast</v>
      </c>
      <c r="J740" s="40" t="n">
        <f aca="false">DATE(YEAR(A740),MONTH(A740),1)</f>
        <v>46235</v>
      </c>
    </row>
    <row r="741" customFormat="false" ht="15" hidden="false" customHeight="false" outlineLevel="0" collapsed="false">
      <c r="A741" s="34" t="n">
        <v>46255</v>
      </c>
      <c r="B741" s="28" t="s">
        <v>116</v>
      </c>
      <c r="C741" s="35" t="n">
        <v>22402</v>
      </c>
      <c r="D741" s="35" t="n">
        <v>239</v>
      </c>
      <c r="E741" s="35" t="n">
        <v>10</v>
      </c>
      <c r="F741" s="35" t="n">
        <v>3</v>
      </c>
      <c r="G741" s="35" t="n">
        <v>8780</v>
      </c>
      <c r="H741" s="35" t="n">
        <v>5414</v>
      </c>
      <c r="I741" s="28" t="str">
        <f aca="false">INDEX(Campaigns!$C$2:$C$31,MATCH(B741,Campaigns!$A$2:$A$31,0))</f>
        <v>Facebook &amp; Instagram Ads</v>
      </c>
      <c r="J741" s="40" t="n">
        <f aca="false">DATE(YEAR(A741),MONTH(A741),1)</f>
        <v>46235</v>
      </c>
    </row>
    <row r="742" customFormat="false" ht="15" hidden="false" customHeight="false" outlineLevel="0" collapsed="false">
      <c r="A742" s="34" t="n">
        <v>46255</v>
      </c>
      <c r="B742" s="28" t="s">
        <v>118</v>
      </c>
      <c r="C742" s="35" t="n">
        <v>3175</v>
      </c>
      <c r="D742" s="35" t="n">
        <v>164</v>
      </c>
      <c r="E742" s="35" t="n">
        <v>5</v>
      </c>
      <c r="F742" s="35" t="n">
        <v>8</v>
      </c>
      <c r="G742" s="35" t="n">
        <v>26650</v>
      </c>
      <c r="H742" s="35" t="n">
        <v>3153</v>
      </c>
      <c r="I742" s="28" t="str">
        <f aca="false">INDEX(Campaigns!$C$2:$C$31,MATCH(B742,Campaigns!$A$2:$A$31,0))</f>
        <v>Google Search Ads</v>
      </c>
      <c r="J742" s="40" t="n">
        <f aca="false">DATE(YEAR(A742),MONTH(A742),1)</f>
        <v>46235</v>
      </c>
    </row>
    <row r="743" customFormat="false" ht="15" hidden="false" customHeight="false" outlineLevel="0" collapsed="false">
      <c r="A743" s="34" t="n">
        <v>46255</v>
      </c>
      <c r="B743" s="28" t="s">
        <v>126</v>
      </c>
      <c r="C743" s="35" t="n">
        <v>18564</v>
      </c>
      <c r="D743" s="35" t="n">
        <v>105</v>
      </c>
      <c r="E743" s="35" t="n">
        <v>5</v>
      </c>
      <c r="F743" s="35" t="n">
        <v>0</v>
      </c>
      <c r="G743" s="35" t="n">
        <v>0</v>
      </c>
      <c r="H743" s="35" t="n">
        <v>3363</v>
      </c>
      <c r="I743" s="28" t="str">
        <f aca="false">INDEX(Campaigns!$C$2:$C$31,MATCH(B743,Campaigns!$A$2:$A$31,0))</f>
        <v>TikTok Ads</v>
      </c>
      <c r="J743" s="40" t="n">
        <f aca="false">DATE(YEAR(A743),MONTH(A743),1)</f>
        <v>46235</v>
      </c>
    </row>
    <row r="744" customFormat="false" ht="15" hidden="false" customHeight="false" outlineLevel="0" collapsed="false">
      <c r="A744" s="34" t="n">
        <v>46255</v>
      </c>
      <c r="B744" s="28" t="s">
        <v>130</v>
      </c>
      <c r="C744" s="35" t="n">
        <v>3750</v>
      </c>
      <c r="D744" s="35" t="n">
        <v>329</v>
      </c>
      <c r="E744" s="35" t="n">
        <v>10</v>
      </c>
      <c r="F744" s="35" t="n">
        <v>36</v>
      </c>
      <c r="G744" s="35" t="n">
        <v>106160</v>
      </c>
      <c r="H744" s="35" t="n">
        <v>5339</v>
      </c>
      <c r="I744" s="28" t="str">
        <f aca="false">INDEX(Campaigns!$C$2:$C$31,MATCH(B744,Campaigns!$A$2:$A$31,0))</f>
        <v>WhatsApp Broadcast</v>
      </c>
      <c r="J744" s="40" t="n">
        <f aca="false">DATE(YEAR(A744),MONTH(A744),1)</f>
        <v>46235</v>
      </c>
    </row>
    <row r="745" customFormat="false" ht="15" hidden="false" customHeight="false" outlineLevel="0" collapsed="false">
      <c r="A745" s="34" t="n">
        <v>46255</v>
      </c>
      <c r="B745" s="28" t="s">
        <v>132</v>
      </c>
      <c r="C745" s="35" t="n">
        <v>35113</v>
      </c>
      <c r="D745" s="35" t="n">
        <v>471</v>
      </c>
      <c r="E745" s="35" t="n">
        <v>59</v>
      </c>
      <c r="F745" s="35" t="n">
        <v>4</v>
      </c>
      <c r="G745" s="35" t="n">
        <v>14270</v>
      </c>
      <c r="H745" s="35" t="n">
        <v>9502</v>
      </c>
      <c r="I745" s="28" t="str">
        <f aca="false">INDEX(Campaigns!$C$2:$C$31,MATCH(B745,Campaigns!$A$2:$A$31,0))</f>
        <v>Facebook &amp; Instagram Ads</v>
      </c>
      <c r="J745" s="40" t="n">
        <f aca="false">DATE(YEAR(A745),MONTH(A745),1)</f>
        <v>46235</v>
      </c>
    </row>
    <row r="746" customFormat="false" ht="15" hidden="false" customHeight="false" outlineLevel="0" collapsed="false">
      <c r="A746" s="34" t="n">
        <v>46255</v>
      </c>
      <c r="B746" s="28" t="s">
        <v>136</v>
      </c>
      <c r="C746" s="35" t="n">
        <v>13905</v>
      </c>
      <c r="D746" s="35" t="n">
        <v>414</v>
      </c>
      <c r="E746" s="35" t="n">
        <v>17</v>
      </c>
      <c r="F746" s="35" t="n">
        <v>14</v>
      </c>
      <c r="G746" s="35" t="n">
        <v>41570</v>
      </c>
      <c r="H746" s="35" t="n">
        <v>5044</v>
      </c>
      <c r="I746" s="28" t="str">
        <f aca="false">INDEX(Campaigns!$C$2:$C$31,MATCH(B746,Campaigns!$A$2:$A$31,0))</f>
        <v>Email</v>
      </c>
      <c r="J746" s="40" t="n">
        <f aca="false">DATE(YEAR(A746),MONTH(A746),1)</f>
        <v>46235</v>
      </c>
    </row>
    <row r="747" customFormat="false" ht="15" hidden="false" customHeight="false" outlineLevel="0" collapsed="false">
      <c r="A747" s="34" t="n">
        <v>46255</v>
      </c>
      <c r="B747" s="28" t="s">
        <v>139</v>
      </c>
      <c r="C747" s="35" t="n">
        <v>18229</v>
      </c>
      <c r="D747" s="35" t="n">
        <v>203</v>
      </c>
      <c r="E747" s="35" t="n">
        <v>9</v>
      </c>
      <c r="F747" s="35" t="n">
        <v>5</v>
      </c>
      <c r="G747" s="35" t="n">
        <v>14420</v>
      </c>
      <c r="H747" s="35" t="n">
        <v>3086</v>
      </c>
      <c r="I747" s="28" t="str">
        <f aca="false">INDEX(Campaigns!$C$2:$C$31,MATCH(B747,Campaigns!$A$2:$A$31,0))</f>
        <v>TikTok Ads</v>
      </c>
      <c r="J747" s="40" t="n">
        <f aca="false">DATE(YEAR(A747),MONTH(A747),1)</f>
        <v>46235</v>
      </c>
    </row>
    <row r="748" customFormat="false" ht="15" hidden="false" customHeight="false" outlineLevel="0" collapsed="false">
      <c r="A748" s="34" t="n">
        <v>46255</v>
      </c>
      <c r="B748" s="28" t="s">
        <v>141</v>
      </c>
      <c r="C748" s="35" t="n">
        <v>7360</v>
      </c>
      <c r="D748" s="35" t="n">
        <v>257</v>
      </c>
      <c r="E748" s="35" t="n">
        <v>13</v>
      </c>
      <c r="F748" s="35" t="n">
        <v>11</v>
      </c>
      <c r="G748" s="35" t="n">
        <v>34460</v>
      </c>
      <c r="H748" s="35" t="n">
        <v>2615</v>
      </c>
      <c r="I748" s="28" t="str">
        <f aca="false">INDEX(Campaigns!$C$2:$C$31,MATCH(B748,Campaigns!$A$2:$A$31,0))</f>
        <v>Email</v>
      </c>
      <c r="J748" s="40" t="n">
        <f aca="false">DATE(YEAR(A748),MONTH(A748),1)</f>
        <v>46235</v>
      </c>
    </row>
    <row r="749" customFormat="false" ht="15" hidden="false" customHeight="false" outlineLevel="0" collapsed="false">
      <c r="A749" s="34" t="n">
        <v>46255</v>
      </c>
      <c r="B749" s="28" t="s">
        <v>145</v>
      </c>
      <c r="C749" s="35" t="n">
        <v>9095</v>
      </c>
      <c r="D749" s="35" t="n">
        <v>469</v>
      </c>
      <c r="E749" s="35" t="n">
        <v>17</v>
      </c>
      <c r="F749" s="35" t="n">
        <v>33</v>
      </c>
      <c r="G749" s="35" t="n">
        <v>114300</v>
      </c>
      <c r="H749" s="35" t="n">
        <v>7557</v>
      </c>
      <c r="I749" s="28" t="str">
        <f aca="false">INDEX(Campaigns!$C$2:$C$31,MATCH(B749,Campaigns!$A$2:$A$31,0))</f>
        <v>Google Search Ads</v>
      </c>
      <c r="J749" s="40" t="n">
        <f aca="false">DATE(YEAR(A749),MONTH(A749),1)</f>
        <v>46235</v>
      </c>
    </row>
    <row r="750" customFormat="false" ht="15" hidden="false" customHeight="false" outlineLevel="0" collapsed="false">
      <c r="A750" s="34" t="n">
        <v>46255</v>
      </c>
      <c r="B750" s="28" t="s">
        <v>147</v>
      </c>
      <c r="C750" s="35" t="n">
        <v>30220</v>
      </c>
      <c r="D750" s="35" t="n">
        <v>406</v>
      </c>
      <c r="E750" s="35" t="n">
        <v>6</v>
      </c>
      <c r="F750" s="35" t="n">
        <v>0</v>
      </c>
      <c r="G750" s="35" t="n">
        <v>0</v>
      </c>
      <c r="H750" s="35" t="n">
        <v>7606</v>
      </c>
      <c r="I750" s="28" t="str">
        <f aca="false">INDEX(Campaigns!$C$2:$C$31,MATCH(B750,Campaigns!$A$2:$A$31,0))</f>
        <v>Facebook &amp; Instagram Ads</v>
      </c>
      <c r="J750" s="40" t="n">
        <f aca="false">DATE(YEAR(A750),MONTH(A750),1)</f>
        <v>46235</v>
      </c>
    </row>
    <row r="751" customFormat="false" ht="15" hidden="false" customHeight="false" outlineLevel="0" collapsed="false">
      <c r="A751" s="34" t="n">
        <v>46255</v>
      </c>
      <c r="B751" s="28" t="s">
        <v>152</v>
      </c>
      <c r="C751" s="35" t="n">
        <v>7894</v>
      </c>
      <c r="D751" s="35" t="n">
        <v>71</v>
      </c>
      <c r="E751" s="35" t="n">
        <v>2</v>
      </c>
      <c r="F751" s="35" t="n">
        <v>2</v>
      </c>
      <c r="G751" s="35" t="n">
        <v>5520</v>
      </c>
      <c r="H751" s="35" t="n">
        <v>4982</v>
      </c>
      <c r="I751" s="28" t="str">
        <f aca="false">INDEX(Campaigns!$C$2:$C$31,MATCH(B751,Campaigns!$A$2:$A$31,0))</f>
        <v>Influencer Partnerships</v>
      </c>
      <c r="J751" s="40" t="n">
        <f aca="false">DATE(YEAR(A751),MONTH(A751),1)</f>
        <v>46235</v>
      </c>
    </row>
    <row r="752" customFormat="false" ht="15" hidden="false" customHeight="false" outlineLevel="0" collapsed="false">
      <c r="A752" s="34" t="n">
        <v>46255</v>
      </c>
      <c r="B752" s="28" t="s">
        <v>154</v>
      </c>
      <c r="C752" s="35" t="n">
        <v>6545</v>
      </c>
      <c r="D752" s="35" t="n">
        <v>57</v>
      </c>
      <c r="E752" s="35" t="n">
        <v>3</v>
      </c>
      <c r="F752" s="35" t="n">
        <v>2</v>
      </c>
      <c r="G752" s="35" t="n">
        <v>7900</v>
      </c>
      <c r="H752" s="35" t="n">
        <v>3636</v>
      </c>
      <c r="I752" s="28" t="str">
        <f aca="false">INDEX(Campaigns!$C$2:$C$31,MATCH(B752,Campaigns!$A$2:$A$31,0))</f>
        <v>Influencer Partnerships</v>
      </c>
      <c r="J752" s="40" t="n">
        <f aca="false">DATE(YEAR(A752),MONTH(A752),1)</f>
        <v>46235</v>
      </c>
    </row>
    <row r="753" customFormat="false" ht="15" hidden="false" customHeight="false" outlineLevel="0" collapsed="false">
      <c r="A753" s="34" t="n">
        <v>46255</v>
      </c>
      <c r="B753" s="28" t="s">
        <v>156</v>
      </c>
      <c r="C753" s="35" t="n">
        <v>43727</v>
      </c>
      <c r="D753" s="35" t="n">
        <v>423</v>
      </c>
      <c r="E753" s="35" t="n">
        <v>53</v>
      </c>
      <c r="F753" s="35" t="n">
        <v>5</v>
      </c>
      <c r="G753" s="35" t="n">
        <v>12050</v>
      </c>
      <c r="H753" s="35" t="n">
        <v>8738</v>
      </c>
      <c r="I753" s="28" t="str">
        <f aca="false">INDEX(Campaigns!$C$2:$C$31,MATCH(B753,Campaigns!$A$2:$A$31,0))</f>
        <v>TikTok Ads</v>
      </c>
      <c r="J753" s="40" t="n">
        <f aca="false">DATE(YEAR(A753),MONTH(A753),1)</f>
        <v>46235</v>
      </c>
    </row>
    <row r="754" customFormat="false" ht="15" hidden="false" customHeight="false" outlineLevel="0" collapsed="false">
      <c r="A754" s="34" t="n">
        <v>46255</v>
      </c>
      <c r="B754" s="28" t="s">
        <v>158</v>
      </c>
      <c r="C754" s="35" t="n">
        <v>18719</v>
      </c>
      <c r="D754" s="35" t="n">
        <v>195</v>
      </c>
      <c r="E754" s="35" t="n">
        <v>28</v>
      </c>
      <c r="F754" s="35" t="n">
        <v>1</v>
      </c>
      <c r="G754" s="35" t="n">
        <v>2720</v>
      </c>
      <c r="H754" s="35" t="n">
        <v>10940</v>
      </c>
      <c r="I754" s="28" t="str">
        <f aca="false">INDEX(Campaigns!$C$2:$C$31,MATCH(B754,Campaigns!$A$2:$A$31,0))</f>
        <v>Influencer Partnerships</v>
      </c>
      <c r="J754" s="40" t="n">
        <f aca="false">DATE(YEAR(A754),MONTH(A754),1)</f>
        <v>46235</v>
      </c>
    </row>
    <row r="755" customFormat="false" ht="15" hidden="false" customHeight="false" outlineLevel="0" collapsed="false">
      <c r="A755" s="34" t="n">
        <v>46255</v>
      </c>
      <c r="B755" s="28" t="s">
        <v>159</v>
      </c>
      <c r="C755" s="35" t="n">
        <v>27913</v>
      </c>
      <c r="D755" s="35" t="n">
        <v>384</v>
      </c>
      <c r="E755" s="35" t="n">
        <v>49</v>
      </c>
      <c r="F755" s="35" t="n">
        <v>3</v>
      </c>
      <c r="G755" s="35" t="n">
        <v>9580</v>
      </c>
      <c r="H755" s="35" t="n">
        <v>7344</v>
      </c>
      <c r="I755" s="28" t="str">
        <f aca="false">INDEX(Campaigns!$C$2:$C$31,MATCH(B755,Campaigns!$A$2:$A$31,0))</f>
        <v>Facebook &amp; Instagram Ads</v>
      </c>
      <c r="J755" s="40" t="n">
        <f aca="false">DATE(YEAR(A755),MONTH(A755),1)</f>
        <v>46235</v>
      </c>
    </row>
    <row r="756" customFormat="false" ht="15" hidden="false" customHeight="false" outlineLevel="0" collapsed="false">
      <c r="A756" s="34" t="n">
        <v>46255</v>
      </c>
      <c r="B756" s="28" t="s">
        <v>161</v>
      </c>
      <c r="C756" s="35" t="n">
        <v>44850</v>
      </c>
      <c r="D756" s="35" t="n">
        <v>646</v>
      </c>
      <c r="E756" s="35" t="n">
        <v>10</v>
      </c>
      <c r="F756" s="35" t="n">
        <v>1</v>
      </c>
      <c r="G756" s="35" t="n">
        <v>3880</v>
      </c>
      <c r="H756" s="35" t="n">
        <v>11932</v>
      </c>
      <c r="I756" s="28" t="str">
        <f aca="false">INDEX(Campaigns!$C$2:$C$31,MATCH(B756,Campaigns!$A$2:$A$31,0))</f>
        <v>Facebook &amp; Instagram Ads</v>
      </c>
      <c r="J756" s="40" t="n">
        <f aca="false">DATE(YEAR(A756),MONTH(A756),1)</f>
        <v>46235</v>
      </c>
    </row>
    <row r="757" customFormat="false" ht="15" hidden="false" customHeight="false" outlineLevel="0" collapsed="false">
      <c r="A757" s="34" t="n">
        <v>46255</v>
      </c>
      <c r="B757" s="28" t="s">
        <v>163</v>
      </c>
      <c r="C757" s="35" t="n">
        <v>1391</v>
      </c>
      <c r="D757" s="35" t="n">
        <v>49</v>
      </c>
      <c r="E757" s="35" t="n">
        <v>3</v>
      </c>
      <c r="F757" s="35" t="n">
        <v>2</v>
      </c>
      <c r="G757" s="35" t="n">
        <v>6910</v>
      </c>
      <c r="H757" s="35" t="n">
        <v>489</v>
      </c>
      <c r="I757" s="28" t="str">
        <f aca="false">INDEX(Campaigns!$C$2:$C$31,MATCH(B757,Campaigns!$A$2:$A$31,0))</f>
        <v>Email</v>
      </c>
      <c r="J757" s="40" t="n">
        <f aca="false">DATE(YEAR(A757),MONTH(A757),1)</f>
        <v>46235</v>
      </c>
    </row>
    <row r="758" customFormat="false" ht="15" hidden="false" customHeight="false" outlineLevel="0" collapsed="false">
      <c r="A758" s="34" t="n">
        <v>46256</v>
      </c>
      <c r="B758" s="28" t="s">
        <v>105</v>
      </c>
      <c r="C758" s="35" t="n">
        <v>7434</v>
      </c>
      <c r="D758" s="35" t="n">
        <v>298</v>
      </c>
      <c r="E758" s="35" t="n">
        <v>11</v>
      </c>
      <c r="F758" s="35" t="n">
        <v>12</v>
      </c>
      <c r="G758" s="35" t="n">
        <v>42040</v>
      </c>
      <c r="H758" s="35" t="n">
        <v>6226</v>
      </c>
      <c r="I758" s="28" t="str">
        <f aca="false">INDEX(Campaigns!$C$2:$C$31,MATCH(B758,Campaigns!$A$2:$A$31,0))</f>
        <v>Google Search Ads</v>
      </c>
      <c r="J758" s="40" t="n">
        <f aca="false">DATE(YEAR(A758),MONTH(A758),1)</f>
        <v>46235</v>
      </c>
    </row>
    <row r="759" customFormat="false" ht="15" hidden="false" customHeight="false" outlineLevel="0" collapsed="false">
      <c r="A759" s="34" t="n">
        <v>46256</v>
      </c>
      <c r="B759" s="28" t="s">
        <v>108</v>
      </c>
      <c r="C759" s="35" t="n">
        <v>8197</v>
      </c>
      <c r="D759" s="35" t="n">
        <v>262</v>
      </c>
      <c r="E759" s="35" t="n">
        <v>10</v>
      </c>
      <c r="F759" s="35" t="n">
        <v>17</v>
      </c>
      <c r="G759" s="35" t="n">
        <v>46320</v>
      </c>
      <c r="H759" s="35" t="n">
        <v>2788</v>
      </c>
      <c r="I759" s="28" t="str">
        <f aca="false">INDEX(Campaigns!$C$2:$C$31,MATCH(B759,Campaigns!$A$2:$A$31,0))</f>
        <v>Email</v>
      </c>
      <c r="J759" s="40" t="n">
        <f aca="false">DATE(YEAR(A759),MONTH(A759),1)</f>
        <v>46235</v>
      </c>
    </row>
    <row r="760" customFormat="false" ht="15" hidden="false" customHeight="false" outlineLevel="0" collapsed="false">
      <c r="A760" s="34" t="n">
        <v>46256</v>
      </c>
      <c r="B760" s="28" t="s">
        <v>110</v>
      </c>
      <c r="C760" s="35" t="n">
        <v>15055</v>
      </c>
      <c r="D760" s="35" t="n">
        <v>147</v>
      </c>
      <c r="E760" s="35" t="n">
        <v>16</v>
      </c>
      <c r="F760" s="35" t="n">
        <v>3</v>
      </c>
      <c r="G760" s="35" t="n">
        <v>9380</v>
      </c>
      <c r="H760" s="35" t="n">
        <v>8956</v>
      </c>
      <c r="I760" s="28" t="str">
        <f aca="false">INDEX(Campaigns!$C$2:$C$31,MATCH(B760,Campaigns!$A$2:$A$31,0))</f>
        <v>Influencer Partnerships</v>
      </c>
      <c r="J760" s="40" t="n">
        <f aca="false">DATE(YEAR(A760),MONTH(A760),1)</f>
        <v>46235</v>
      </c>
    </row>
    <row r="761" customFormat="false" ht="15" hidden="false" customHeight="false" outlineLevel="0" collapsed="false">
      <c r="A761" s="34" t="n">
        <v>46256</v>
      </c>
      <c r="B761" s="28" t="s">
        <v>114</v>
      </c>
      <c r="C761" s="35" t="n">
        <v>695</v>
      </c>
      <c r="D761" s="35" t="n">
        <v>46</v>
      </c>
      <c r="E761" s="35" t="n">
        <v>0</v>
      </c>
      <c r="F761" s="35" t="n">
        <v>4</v>
      </c>
      <c r="G761" s="35" t="n">
        <v>11500</v>
      </c>
      <c r="H761" s="35" t="n">
        <v>1007</v>
      </c>
      <c r="I761" s="28" t="str">
        <f aca="false">INDEX(Campaigns!$C$2:$C$31,MATCH(B761,Campaigns!$A$2:$A$31,0))</f>
        <v>WhatsApp Broadcast</v>
      </c>
      <c r="J761" s="40" t="n">
        <f aca="false">DATE(YEAR(A761),MONTH(A761),1)</f>
        <v>46235</v>
      </c>
    </row>
    <row r="762" customFormat="false" ht="15" hidden="false" customHeight="false" outlineLevel="0" collapsed="false">
      <c r="A762" s="34" t="n">
        <v>46256</v>
      </c>
      <c r="B762" s="28" t="s">
        <v>116</v>
      </c>
      <c r="C762" s="35" t="n">
        <v>25586</v>
      </c>
      <c r="D762" s="35" t="n">
        <v>303</v>
      </c>
      <c r="E762" s="35" t="n">
        <v>17</v>
      </c>
      <c r="F762" s="35" t="n">
        <v>2</v>
      </c>
      <c r="G762" s="35" t="n">
        <v>5690</v>
      </c>
      <c r="H762" s="35" t="n">
        <v>6929</v>
      </c>
      <c r="I762" s="28" t="str">
        <f aca="false">INDEX(Campaigns!$C$2:$C$31,MATCH(B762,Campaigns!$A$2:$A$31,0))</f>
        <v>Facebook &amp; Instagram Ads</v>
      </c>
      <c r="J762" s="40" t="n">
        <f aca="false">DATE(YEAR(A762),MONTH(A762),1)</f>
        <v>46235</v>
      </c>
    </row>
    <row r="763" customFormat="false" ht="15" hidden="false" customHeight="false" outlineLevel="0" collapsed="false">
      <c r="A763" s="34" t="n">
        <v>46256</v>
      </c>
      <c r="B763" s="28" t="s">
        <v>118</v>
      </c>
      <c r="C763" s="35" t="n">
        <v>3302</v>
      </c>
      <c r="D763" s="35" t="n">
        <v>181</v>
      </c>
      <c r="E763" s="35" t="n">
        <v>11</v>
      </c>
      <c r="F763" s="35" t="n">
        <v>8</v>
      </c>
      <c r="G763" s="35" t="n">
        <v>30610</v>
      </c>
      <c r="H763" s="35" t="n">
        <v>2951</v>
      </c>
      <c r="I763" s="28" t="str">
        <f aca="false">INDEX(Campaigns!$C$2:$C$31,MATCH(B763,Campaigns!$A$2:$A$31,0))</f>
        <v>Google Search Ads</v>
      </c>
      <c r="J763" s="40" t="n">
        <f aca="false">DATE(YEAR(A763),MONTH(A763),1)</f>
        <v>46235</v>
      </c>
    </row>
    <row r="764" customFormat="false" ht="15" hidden="false" customHeight="false" outlineLevel="0" collapsed="false">
      <c r="A764" s="34" t="n">
        <v>46256</v>
      </c>
      <c r="B764" s="28" t="s">
        <v>124</v>
      </c>
      <c r="C764" s="35" t="n">
        <v>7894</v>
      </c>
      <c r="D764" s="35" t="n">
        <v>199</v>
      </c>
      <c r="E764" s="35" t="n">
        <v>10</v>
      </c>
      <c r="F764" s="35" t="n">
        <v>3</v>
      </c>
      <c r="G764" s="35" t="n">
        <v>13320</v>
      </c>
      <c r="H764" s="35" t="n">
        <v>2913</v>
      </c>
      <c r="I764" s="28" t="str">
        <f aca="false">INDEX(Campaigns!$C$2:$C$31,MATCH(B764,Campaigns!$A$2:$A$31,0))</f>
        <v>Email</v>
      </c>
      <c r="J764" s="40" t="n">
        <f aca="false">DATE(YEAR(A764),MONTH(A764),1)</f>
        <v>46235</v>
      </c>
    </row>
    <row r="765" customFormat="false" ht="15" hidden="false" customHeight="false" outlineLevel="0" collapsed="false">
      <c r="A765" s="34" t="n">
        <v>46256</v>
      </c>
      <c r="B765" s="28" t="s">
        <v>126</v>
      </c>
      <c r="C765" s="35" t="n">
        <v>17097</v>
      </c>
      <c r="D765" s="35" t="n">
        <v>118</v>
      </c>
      <c r="E765" s="35" t="n">
        <v>2</v>
      </c>
      <c r="F765" s="35" t="n">
        <v>1</v>
      </c>
      <c r="G765" s="35" t="n">
        <v>3690</v>
      </c>
      <c r="H765" s="35" t="n">
        <v>2923</v>
      </c>
      <c r="I765" s="28" t="str">
        <f aca="false">INDEX(Campaigns!$C$2:$C$31,MATCH(B765,Campaigns!$A$2:$A$31,0))</f>
        <v>TikTok Ads</v>
      </c>
      <c r="J765" s="40" t="n">
        <f aca="false">DATE(YEAR(A765),MONTH(A765),1)</f>
        <v>46235</v>
      </c>
    </row>
    <row r="766" customFormat="false" ht="15" hidden="false" customHeight="false" outlineLevel="0" collapsed="false">
      <c r="A766" s="34" t="n">
        <v>46256</v>
      </c>
      <c r="B766" s="28" t="s">
        <v>130</v>
      </c>
      <c r="C766" s="35" t="n">
        <v>3257</v>
      </c>
      <c r="D766" s="35" t="n">
        <v>259</v>
      </c>
      <c r="E766" s="35" t="n">
        <v>11</v>
      </c>
      <c r="F766" s="35" t="n">
        <v>23</v>
      </c>
      <c r="G766" s="35" t="n">
        <v>68310</v>
      </c>
      <c r="H766" s="35" t="n">
        <v>4528</v>
      </c>
      <c r="I766" s="28" t="str">
        <f aca="false">INDEX(Campaigns!$C$2:$C$31,MATCH(B766,Campaigns!$A$2:$A$31,0))</f>
        <v>WhatsApp Broadcast</v>
      </c>
      <c r="J766" s="40" t="n">
        <f aca="false">DATE(YEAR(A766),MONTH(A766),1)</f>
        <v>46235</v>
      </c>
    </row>
    <row r="767" customFormat="false" ht="15" hidden="false" customHeight="false" outlineLevel="0" collapsed="false">
      <c r="A767" s="34" t="n">
        <v>46256</v>
      </c>
      <c r="B767" s="28" t="s">
        <v>132</v>
      </c>
      <c r="C767" s="35" t="n">
        <v>39387</v>
      </c>
      <c r="D767" s="35" t="n">
        <v>514</v>
      </c>
      <c r="E767" s="35" t="n">
        <v>72</v>
      </c>
      <c r="F767" s="35" t="n">
        <v>4</v>
      </c>
      <c r="G767" s="35" t="n">
        <v>14570</v>
      </c>
      <c r="H767" s="35" t="n">
        <v>9762</v>
      </c>
      <c r="I767" s="28" t="str">
        <f aca="false">INDEX(Campaigns!$C$2:$C$31,MATCH(B767,Campaigns!$A$2:$A$31,0))</f>
        <v>Facebook &amp; Instagram Ads</v>
      </c>
      <c r="J767" s="40" t="n">
        <f aca="false">DATE(YEAR(A767),MONTH(A767),1)</f>
        <v>46235</v>
      </c>
    </row>
    <row r="768" customFormat="false" ht="15" hidden="false" customHeight="false" outlineLevel="0" collapsed="false">
      <c r="A768" s="34" t="n">
        <v>46256</v>
      </c>
      <c r="B768" s="28" t="s">
        <v>141</v>
      </c>
      <c r="C768" s="35" t="n">
        <v>7306</v>
      </c>
      <c r="D768" s="35" t="n">
        <v>226</v>
      </c>
      <c r="E768" s="35" t="n">
        <v>10</v>
      </c>
      <c r="F768" s="35" t="n">
        <v>7</v>
      </c>
      <c r="G768" s="35" t="n">
        <v>22220</v>
      </c>
      <c r="H768" s="35" t="n">
        <v>2598</v>
      </c>
      <c r="I768" s="28" t="str">
        <f aca="false">INDEX(Campaigns!$C$2:$C$31,MATCH(B768,Campaigns!$A$2:$A$31,0))</f>
        <v>Email</v>
      </c>
      <c r="J768" s="40" t="n">
        <f aca="false">DATE(YEAR(A768),MONTH(A768),1)</f>
        <v>46235</v>
      </c>
    </row>
    <row r="769" customFormat="false" ht="15" hidden="false" customHeight="false" outlineLevel="0" collapsed="false">
      <c r="A769" s="34" t="n">
        <v>46256</v>
      </c>
      <c r="B769" s="28" t="s">
        <v>145</v>
      </c>
      <c r="C769" s="35" t="n">
        <v>8297</v>
      </c>
      <c r="D769" s="35" t="n">
        <v>431</v>
      </c>
      <c r="E769" s="35" t="n">
        <v>18</v>
      </c>
      <c r="F769" s="35" t="n">
        <v>26</v>
      </c>
      <c r="G769" s="35" t="n">
        <v>92330</v>
      </c>
      <c r="H769" s="35" t="n">
        <v>7202</v>
      </c>
      <c r="I769" s="28" t="str">
        <f aca="false">INDEX(Campaigns!$C$2:$C$31,MATCH(B769,Campaigns!$A$2:$A$31,0))</f>
        <v>Google Search Ads</v>
      </c>
      <c r="J769" s="40" t="n">
        <f aca="false">DATE(YEAR(A769),MONTH(A769),1)</f>
        <v>46235</v>
      </c>
    </row>
    <row r="770" customFormat="false" ht="15" hidden="false" customHeight="false" outlineLevel="0" collapsed="false">
      <c r="A770" s="34" t="n">
        <v>46256</v>
      </c>
      <c r="B770" s="28" t="s">
        <v>152</v>
      </c>
      <c r="C770" s="35" t="n">
        <v>8936</v>
      </c>
      <c r="D770" s="35" t="n">
        <v>63</v>
      </c>
      <c r="E770" s="35" t="n">
        <v>2</v>
      </c>
      <c r="F770" s="35" t="n">
        <v>3</v>
      </c>
      <c r="G770" s="35" t="n">
        <v>12000</v>
      </c>
      <c r="H770" s="35" t="n">
        <v>4925</v>
      </c>
      <c r="I770" s="28" t="str">
        <f aca="false">INDEX(Campaigns!$C$2:$C$31,MATCH(B770,Campaigns!$A$2:$A$31,0))</f>
        <v>Influencer Partnerships</v>
      </c>
      <c r="J770" s="40" t="n">
        <f aca="false">DATE(YEAR(A770),MONTH(A770),1)</f>
        <v>46235</v>
      </c>
    </row>
    <row r="771" customFormat="false" ht="15" hidden="false" customHeight="false" outlineLevel="0" collapsed="false">
      <c r="A771" s="34" t="n">
        <v>46256</v>
      </c>
      <c r="B771" s="28" t="s">
        <v>154</v>
      </c>
      <c r="C771" s="35" t="n">
        <v>7697</v>
      </c>
      <c r="D771" s="35" t="n">
        <v>67</v>
      </c>
      <c r="E771" s="35" t="n">
        <v>3</v>
      </c>
      <c r="F771" s="35" t="n">
        <v>0</v>
      </c>
      <c r="G771" s="35" t="n">
        <v>0</v>
      </c>
      <c r="H771" s="35" t="n">
        <v>4302</v>
      </c>
      <c r="I771" s="28" t="str">
        <f aca="false">INDEX(Campaigns!$C$2:$C$31,MATCH(B771,Campaigns!$A$2:$A$31,0))</f>
        <v>Influencer Partnerships</v>
      </c>
      <c r="J771" s="40" t="n">
        <f aca="false">DATE(YEAR(A771),MONTH(A771),1)</f>
        <v>46235</v>
      </c>
    </row>
    <row r="772" customFormat="false" ht="15" hidden="false" customHeight="false" outlineLevel="0" collapsed="false">
      <c r="A772" s="34" t="n">
        <v>46256</v>
      </c>
      <c r="B772" s="28" t="s">
        <v>156</v>
      </c>
      <c r="C772" s="35" t="n">
        <v>49034</v>
      </c>
      <c r="D772" s="35" t="n">
        <v>433</v>
      </c>
      <c r="E772" s="35" t="n">
        <v>59</v>
      </c>
      <c r="F772" s="35" t="n">
        <v>6</v>
      </c>
      <c r="G772" s="35" t="n">
        <v>15040</v>
      </c>
      <c r="H772" s="35" t="n">
        <v>8365</v>
      </c>
      <c r="I772" s="28" t="str">
        <f aca="false">INDEX(Campaigns!$C$2:$C$31,MATCH(B772,Campaigns!$A$2:$A$31,0))</f>
        <v>TikTok Ads</v>
      </c>
      <c r="J772" s="40" t="n">
        <f aca="false">DATE(YEAR(A772),MONTH(A772),1)</f>
        <v>46235</v>
      </c>
    </row>
    <row r="773" customFormat="false" ht="15" hidden="false" customHeight="false" outlineLevel="0" collapsed="false">
      <c r="A773" s="34" t="n">
        <v>46256</v>
      </c>
      <c r="B773" s="28" t="s">
        <v>158</v>
      </c>
      <c r="C773" s="35" t="n">
        <v>18876</v>
      </c>
      <c r="D773" s="35" t="n">
        <v>185</v>
      </c>
      <c r="E773" s="35" t="n">
        <v>27</v>
      </c>
      <c r="F773" s="35" t="n">
        <v>4</v>
      </c>
      <c r="G773" s="35" t="n">
        <v>13780</v>
      </c>
      <c r="H773" s="35" t="n">
        <v>11552</v>
      </c>
      <c r="I773" s="28" t="str">
        <f aca="false">INDEX(Campaigns!$C$2:$C$31,MATCH(B773,Campaigns!$A$2:$A$31,0))</f>
        <v>Influencer Partnerships</v>
      </c>
      <c r="J773" s="40" t="n">
        <f aca="false">DATE(YEAR(A773),MONTH(A773),1)</f>
        <v>46235</v>
      </c>
    </row>
    <row r="774" customFormat="false" ht="15" hidden="false" customHeight="false" outlineLevel="0" collapsed="false">
      <c r="A774" s="34" t="n">
        <v>46256</v>
      </c>
      <c r="B774" s="28" t="s">
        <v>159</v>
      </c>
      <c r="C774" s="35" t="n">
        <v>30703</v>
      </c>
      <c r="D774" s="35" t="n">
        <v>451</v>
      </c>
      <c r="E774" s="35" t="n">
        <v>76</v>
      </c>
      <c r="F774" s="35" t="n">
        <v>8</v>
      </c>
      <c r="G774" s="35" t="n">
        <v>24800</v>
      </c>
      <c r="H774" s="35" t="n">
        <v>7883</v>
      </c>
      <c r="I774" s="28" t="str">
        <f aca="false">INDEX(Campaigns!$C$2:$C$31,MATCH(B774,Campaigns!$A$2:$A$31,0))</f>
        <v>Facebook &amp; Instagram Ads</v>
      </c>
      <c r="J774" s="40" t="n">
        <f aca="false">DATE(YEAR(A774),MONTH(A774),1)</f>
        <v>46235</v>
      </c>
    </row>
    <row r="775" customFormat="false" ht="15" hidden="false" customHeight="false" outlineLevel="0" collapsed="false">
      <c r="A775" s="34" t="n">
        <v>46256</v>
      </c>
      <c r="B775" s="28" t="s">
        <v>161</v>
      </c>
      <c r="C775" s="35" t="n">
        <v>46301</v>
      </c>
      <c r="D775" s="35" t="n">
        <v>642</v>
      </c>
      <c r="E775" s="35" t="n">
        <v>10</v>
      </c>
      <c r="F775" s="35" t="n">
        <v>1</v>
      </c>
      <c r="G775" s="35" t="n">
        <v>2520</v>
      </c>
      <c r="H775" s="35" t="n">
        <v>11505</v>
      </c>
      <c r="I775" s="28" t="str">
        <f aca="false">INDEX(Campaigns!$C$2:$C$31,MATCH(B775,Campaigns!$A$2:$A$31,0))</f>
        <v>Facebook &amp; Instagram Ads</v>
      </c>
      <c r="J775" s="40" t="n">
        <f aca="false">DATE(YEAR(A775),MONTH(A775),1)</f>
        <v>46235</v>
      </c>
    </row>
    <row r="776" customFormat="false" ht="15" hidden="false" customHeight="false" outlineLevel="0" collapsed="false">
      <c r="A776" s="34" t="n">
        <v>46256</v>
      </c>
      <c r="B776" s="28" t="s">
        <v>163</v>
      </c>
      <c r="C776" s="35" t="n">
        <v>1570</v>
      </c>
      <c r="D776" s="35" t="n">
        <v>52</v>
      </c>
      <c r="E776" s="35" t="n">
        <v>2</v>
      </c>
      <c r="F776" s="35" t="n">
        <v>4</v>
      </c>
      <c r="G776" s="35" t="n">
        <v>12230</v>
      </c>
      <c r="H776" s="35" t="n">
        <v>509</v>
      </c>
      <c r="I776" s="28" t="str">
        <f aca="false">INDEX(Campaigns!$C$2:$C$31,MATCH(B776,Campaigns!$A$2:$A$31,0))</f>
        <v>Email</v>
      </c>
      <c r="J776" s="40" t="n">
        <f aca="false">DATE(YEAR(A776),MONTH(A776),1)</f>
        <v>46235</v>
      </c>
    </row>
    <row r="777" customFormat="false" ht="15" hidden="false" customHeight="false" outlineLevel="0" collapsed="false">
      <c r="A777" s="34" t="n">
        <v>46257</v>
      </c>
      <c r="B777" s="28" t="s">
        <v>105</v>
      </c>
      <c r="C777" s="35" t="n">
        <v>5287</v>
      </c>
      <c r="D777" s="35" t="n">
        <v>221</v>
      </c>
      <c r="E777" s="35" t="n">
        <v>10</v>
      </c>
      <c r="F777" s="35" t="n">
        <v>5</v>
      </c>
      <c r="G777" s="35" t="n">
        <v>14560</v>
      </c>
      <c r="H777" s="35" t="n">
        <v>5141</v>
      </c>
      <c r="I777" s="28" t="str">
        <f aca="false">INDEX(Campaigns!$C$2:$C$31,MATCH(B777,Campaigns!$A$2:$A$31,0))</f>
        <v>Google Search Ads</v>
      </c>
      <c r="J777" s="40" t="n">
        <f aca="false">DATE(YEAR(A777),MONTH(A777),1)</f>
        <v>46235</v>
      </c>
    </row>
    <row r="778" customFormat="false" ht="15" hidden="false" customHeight="false" outlineLevel="0" collapsed="false">
      <c r="A778" s="34" t="n">
        <v>46257</v>
      </c>
      <c r="B778" s="28" t="s">
        <v>108</v>
      </c>
      <c r="C778" s="35" t="n">
        <v>7192</v>
      </c>
      <c r="D778" s="35" t="n">
        <v>229</v>
      </c>
      <c r="E778" s="35" t="n">
        <v>6</v>
      </c>
      <c r="F778" s="35" t="n">
        <v>10</v>
      </c>
      <c r="G778" s="35" t="n">
        <v>37340</v>
      </c>
      <c r="H778" s="35" t="n">
        <v>2299</v>
      </c>
      <c r="I778" s="28" t="str">
        <f aca="false">INDEX(Campaigns!$C$2:$C$31,MATCH(B778,Campaigns!$A$2:$A$31,0))</f>
        <v>Email</v>
      </c>
      <c r="J778" s="40" t="n">
        <f aca="false">DATE(YEAR(A778),MONTH(A778),1)</f>
        <v>46235</v>
      </c>
    </row>
    <row r="779" customFormat="false" ht="15" hidden="false" customHeight="false" outlineLevel="0" collapsed="false">
      <c r="A779" s="34" t="n">
        <v>46257</v>
      </c>
      <c r="B779" s="28" t="s">
        <v>110</v>
      </c>
      <c r="C779" s="35" t="n">
        <v>15841</v>
      </c>
      <c r="D779" s="35" t="n">
        <v>175</v>
      </c>
      <c r="E779" s="35" t="n">
        <v>26</v>
      </c>
      <c r="F779" s="35" t="n">
        <v>3</v>
      </c>
      <c r="G779" s="35" t="n">
        <v>9850</v>
      </c>
      <c r="H779" s="35" t="n">
        <v>9444</v>
      </c>
      <c r="I779" s="28" t="str">
        <f aca="false">INDEX(Campaigns!$C$2:$C$31,MATCH(B779,Campaigns!$A$2:$A$31,0))</f>
        <v>Influencer Partnerships</v>
      </c>
      <c r="J779" s="40" t="n">
        <f aca="false">DATE(YEAR(A779),MONTH(A779),1)</f>
        <v>46235</v>
      </c>
    </row>
    <row r="780" customFormat="false" ht="15" hidden="false" customHeight="false" outlineLevel="0" collapsed="false">
      <c r="A780" s="34" t="n">
        <v>46257</v>
      </c>
      <c r="B780" s="28" t="s">
        <v>114</v>
      </c>
      <c r="C780" s="35" t="n">
        <v>804</v>
      </c>
      <c r="D780" s="35" t="n">
        <v>46</v>
      </c>
      <c r="E780" s="35" t="n">
        <v>3</v>
      </c>
      <c r="F780" s="35" t="n">
        <v>2</v>
      </c>
      <c r="G780" s="35" t="n">
        <v>7600</v>
      </c>
      <c r="H780" s="35" t="n">
        <v>1074</v>
      </c>
      <c r="I780" s="28" t="str">
        <f aca="false">INDEX(Campaigns!$C$2:$C$31,MATCH(B780,Campaigns!$A$2:$A$31,0))</f>
        <v>WhatsApp Broadcast</v>
      </c>
      <c r="J780" s="40" t="n">
        <f aca="false">DATE(YEAR(A780),MONTH(A780),1)</f>
        <v>46235</v>
      </c>
    </row>
    <row r="781" customFormat="false" ht="15" hidden="false" customHeight="false" outlineLevel="0" collapsed="false">
      <c r="A781" s="34" t="n">
        <v>46257</v>
      </c>
      <c r="B781" s="28" t="s">
        <v>116</v>
      </c>
      <c r="C781" s="35" t="n">
        <v>27171</v>
      </c>
      <c r="D781" s="35" t="n">
        <v>347</v>
      </c>
      <c r="E781" s="35" t="n">
        <v>6</v>
      </c>
      <c r="F781" s="35" t="n">
        <v>8</v>
      </c>
      <c r="G781" s="35" t="n">
        <v>26640</v>
      </c>
      <c r="H781" s="35" t="n">
        <v>6413</v>
      </c>
      <c r="I781" s="28" t="str">
        <f aca="false">INDEX(Campaigns!$C$2:$C$31,MATCH(B781,Campaigns!$A$2:$A$31,0))</f>
        <v>Facebook &amp; Instagram Ads</v>
      </c>
      <c r="J781" s="40" t="n">
        <f aca="false">DATE(YEAR(A781),MONTH(A781),1)</f>
        <v>46235</v>
      </c>
    </row>
    <row r="782" customFormat="false" ht="15" hidden="false" customHeight="false" outlineLevel="0" collapsed="false">
      <c r="A782" s="34" t="n">
        <v>46257</v>
      </c>
      <c r="B782" s="28" t="s">
        <v>118</v>
      </c>
      <c r="C782" s="35" t="n">
        <v>3511</v>
      </c>
      <c r="D782" s="35" t="n">
        <v>172</v>
      </c>
      <c r="E782" s="35" t="n">
        <v>11</v>
      </c>
      <c r="F782" s="35" t="n">
        <v>10</v>
      </c>
      <c r="G782" s="35" t="n">
        <v>37300</v>
      </c>
      <c r="H782" s="35" t="n">
        <v>3098</v>
      </c>
      <c r="I782" s="28" t="str">
        <f aca="false">INDEX(Campaigns!$C$2:$C$31,MATCH(B782,Campaigns!$A$2:$A$31,0))</f>
        <v>Google Search Ads</v>
      </c>
      <c r="J782" s="40" t="n">
        <f aca="false">DATE(YEAR(A782),MONTH(A782),1)</f>
        <v>46235</v>
      </c>
    </row>
    <row r="783" customFormat="false" ht="15" hidden="false" customHeight="false" outlineLevel="0" collapsed="false">
      <c r="A783" s="34" t="n">
        <v>46257</v>
      </c>
      <c r="B783" s="28" t="s">
        <v>124</v>
      </c>
      <c r="C783" s="35" t="n">
        <v>7633</v>
      </c>
      <c r="D783" s="35" t="n">
        <v>171</v>
      </c>
      <c r="E783" s="35" t="n">
        <v>10</v>
      </c>
      <c r="F783" s="35" t="n">
        <v>3</v>
      </c>
      <c r="G783" s="35" t="n">
        <v>8540</v>
      </c>
      <c r="H783" s="35" t="n">
        <v>2906</v>
      </c>
      <c r="I783" s="28" t="str">
        <f aca="false">INDEX(Campaigns!$C$2:$C$31,MATCH(B783,Campaigns!$A$2:$A$31,0))</f>
        <v>Email</v>
      </c>
      <c r="J783" s="40" t="n">
        <f aca="false">DATE(YEAR(A783),MONTH(A783),1)</f>
        <v>46235</v>
      </c>
    </row>
    <row r="784" customFormat="false" ht="15" hidden="false" customHeight="false" outlineLevel="0" collapsed="false">
      <c r="A784" s="34" t="n">
        <v>46257</v>
      </c>
      <c r="B784" s="28" t="s">
        <v>126</v>
      </c>
      <c r="C784" s="35" t="n">
        <v>19868</v>
      </c>
      <c r="D784" s="35" t="n">
        <v>142</v>
      </c>
      <c r="E784" s="35" t="n">
        <v>5</v>
      </c>
      <c r="F784" s="35" t="n">
        <v>0</v>
      </c>
      <c r="G784" s="35" t="n">
        <v>0</v>
      </c>
      <c r="H784" s="35" t="n">
        <v>3419</v>
      </c>
      <c r="I784" s="28" t="str">
        <f aca="false">INDEX(Campaigns!$C$2:$C$31,MATCH(B784,Campaigns!$A$2:$A$31,0))</f>
        <v>TikTok Ads</v>
      </c>
      <c r="J784" s="40" t="n">
        <f aca="false">DATE(YEAR(A784),MONTH(A784),1)</f>
        <v>46235</v>
      </c>
    </row>
    <row r="785" customFormat="false" ht="15" hidden="false" customHeight="false" outlineLevel="0" collapsed="false">
      <c r="A785" s="34" t="n">
        <v>46257</v>
      </c>
      <c r="B785" s="28" t="s">
        <v>130</v>
      </c>
      <c r="C785" s="35" t="n">
        <v>2868</v>
      </c>
      <c r="D785" s="35" t="n">
        <v>246</v>
      </c>
      <c r="E785" s="35" t="n">
        <v>8</v>
      </c>
      <c r="F785" s="35" t="n">
        <v>29</v>
      </c>
      <c r="G785" s="35" t="n">
        <v>78640</v>
      </c>
      <c r="H785" s="35" t="n">
        <v>4280</v>
      </c>
      <c r="I785" s="28" t="str">
        <f aca="false">INDEX(Campaigns!$C$2:$C$31,MATCH(B785,Campaigns!$A$2:$A$31,0))</f>
        <v>WhatsApp Broadcast</v>
      </c>
      <c r="J785" s="40" t="n">
        <f aca="false">DATE(YEAR(A785),MONTH(A785),1)</f>
        <v>46235</v>
      </c>
    </row>
    <row r="786" customFormat="false" ht="15" hidden="false" customHeight="false" outlineLevel="0" collapsed="false">
      <c r="A786" s="34" t="n">
        <v>46257</v>
      </c>
      <c r="B786" s="28" t="s">
        <v>132</v>
      </c>
      <c r="C786" s="35" t="n">
        <v>37199</v>
      </c>
      <c r="D786" s="35" t="n">
        <v>502</v>
      </c>
      <c r="E786" s="35" t="n">
        <v>72</v>
      </c>
      <c r="F786" s="35" t="n">
        <v>9</v>
      </c>
      <c r="G786" s="35" t="n">
        <v>32360</v>
      </c>
      <c r="H786" s="35" t="n">
        <v>9069</v>
      </c>
      <c r="I786" s="28" t="str">
        <f aca="false">INDEX(Campaigns!$C$2:$C$31,MATCH(B786,Campaigns!$A$2:$A$31,0))</f>
        <v>Facebook &amp; Instagram Ads</v>
      </c>
      <c r="J786" s="40" t="n">
        <f aca="false">DATE(YEAR(A786),MONTH(A786),1)</f>
        <v>46235</v>
      </c>
    </row>
    <row r="787" customFormat="false" ht="15" hidden="false" customHeight="false" outlineLevel="0" collapsed="false">
      <c r="A787" s="34" t="n">
        <v>46257</v>
      </c>
      <c r="B787" s="28" t="s">
        <v>139</v>
      </c>
      <c r="C787" s="35" t="n">
        <v>15597</v>
      </c>
      <c r="D787" s="35" t="n">
        <v>169</v>
      </c>
      <c r="E787" s="35" t="n">
        <v>11</v>
      </c>
      <c r="F787" s="35" t="n">
        <v>2</v>
      </c>
      <c r="G787" s="35" t="n">
        <v>4770</v>
      </c>
      <c r="H787" s="35" t="n">
        <v>2831</v>
      </c>
      <c r="I787" s="28" t="str">
        <f aca="false">INDEX(Campaigns!$C$2:$C$31,MATCH(B787,Campaigns!$A$2:$A$31,0))</f>
        <v>TikTok Ads</v>
      </c>
      <c r="J787" s="40" t="n">
        <f aca="false">DATE(YEAR(A787),MONTH(A787),1)</f>
        <v>46235</v>
      </c>
    </row>
    <row r="788" customFormat="false" ht="15" hidden="false" customHeight="false" outlineLevel="0" collapsed="false">
      <c r="A788" s="34" t="n">
        <v>46257</v>
      </c>
      <c r="B788" s="28" t="s">
        <v>141</v>
      </c>
      <c r="C788" s="35" t="n">
        <v>8021</v>
      </c>
      <c r="D788" s="35" t="n">
        <v>268</v>
      </c>
      <c r="E788" s="35" t="n">
        <v>12</v>
      </c>
      <c r="F788" s="35" t="n">
        <v>17</v>
      </c>
      <c r="G788" s="35" t="n">
        <v>51620</v>
      </c>
      <c r="H788" s="35" t="n">
        <v>2767</v>
      </c>
      <c r="I788" s="28" t="str">
        <f aca="false">INDEX(Campaigns!$C$2:$C$31,MATCH(B788,Campaigns!$A$2:$A$31,0))</f>
        <v>Email</v>
      </c>
      <c r="J788" s="40" t="n">
        <f aca="false">DATE(YEAR(A788),MONTH(A788),1)</f>
        <v>46235</v>
      </c>
    </row>
    <row r="789" customFormat="false" ht="15" hidden="false" customHeight="false" outlineLevel="0" collapsed="false">
      <c r="A789" s="34" t="n">
        <v>46257</v>
      </c>
      <c r="B789" s="28" t="s">
        <v>145</v>
      </c>
      <c r="C789" s="35" t="n">
        <v>8035</v>
      </c>
      <c r="D789" s="35" t="n">
        <v>449</v>
      </c>
      <c r="E789" s="35" t="n">
        <v>16</v>
      </c>
      <c r="F789" s="35" t="n">
        <v>32</v>
      </c>
      <c r="G789" s="35" t="n">
        <v>121490</v>
      </c>
      <c r="H789" s="35" t="n">
        <v>7709</v>
      </c>
      <c r="I789" s="28" t="str">
        <f aca="false">INDEX(Campaigns!$C$2:$C$31,MATCH(B789,Campaigns!$A$2:$A$31,0))</f>
        <v>Google Search Ads</v>
      </c>
      <c r="J789" s="40" t="n">
        <f aca="false">DATE(YEAR(A789),MONTH(A789),1)</f>
        <v>46235</v>
      </c>
    </row>
    <row r="790" customFormat="false" ht="15" hidden="false" customHeight="false" outlineLevel="0" collapsed="false">
      <c r="A790" s="34" t="n">
        <v>46257</v>
      </c>
      <c r="B790" s="28" t="s">
        <v>147</v>
      </c>
      <c r="C790" s="35" t="n">
        <v>26051</v>
      </c>
      <c r="D790" s="35" t="n">
        <v>356</v>
      </c>
      <c r="E790" s="35" t="n">
        <v>10</v>
      </c>
      <c r="F790" s="35" t="n">
        <v>0</v>
      </c>
      <c r="G790" s="35" t="n">
        <v>0</v>
      </c>
      <c r="H790" s="35" t="n">
        <v>6543</v>
      </c>
      <c r="I790" s="28" t="str">
        <f aca="false">INDEX(Campaigns!$C$2:$C$31,MATCH(B790,Campaigns!$A$2:$A$31,0))</f>
        <v>Facebook &amp; Instagram Ads</v>
      </c>
      <c r="J790" s="40" t="n">
        <f aca="false">DATE(YEAR(A790),MONTH(A790),1)</f>
        <v>46235</v>
      </c>
    </row>
    <row r="791" customFormat="false" ht="15" hidden="false" customHeight="false" outlineLevel="0" collapsed="false">
      <c r="A791" s="34" t="n">
        <v>46257</v>
      </c>
      <c r="B791" s="28" t="s">
        <v>152</v>
      </c>
      <c r="C791" s="35" t="n">
        <v>7430</v>
      </c>
      <c r="D791" s="35" t="n">
        <v>69</v>
      </c>
      <c r="E791" s="35" t="n">
        <v>5</v>
      </c>
      <c r="F791" s="35" t="n">
        <v>2</v>
      </c>
      <c r="G791" s="35" t="n">
        <v>6460</v>
      </c>
      <c r="H791" s="35" t="n">
        <v>4698</v>
      </c>
      <c r="I791" s="28" t="str">
        <f aca="false">INDEX(Campaigns!$C$2:$C$31,MATCH(B791,Campaigns!$A$2:$A$31,0))</f>
        <v>Influencer Partnerships</v>
      </c>
      <c r="J791" s="40" t="n">
        <f aca="false">DATE(YEAR(A791),MONTH(A791),1)</f>
        <v>46235</v>
      </c>
    </row>
    <row r="792" customFormat="false" ht="15" hidden="false" customHeight="false" outlineLevel="0" collapsed="false">
      <c r="A792" s="34" t="n">
        <v>46257</v>
      </c>
      <c r="B792" s="28" t="s">
        <v>154</v>
      </c>
      <c r="C792" s="35" t="n">
        <v>6701</v>
      </c>
      <c r="D792" s="35" t="n">
        <v>68</v>
      </c>
      <c r="E792" s="35" t="n">
        <v>2</v>
      </c>
      <c r="F792" s="35" t="n">
        <v>1</v>
      </c>
      <c r="G792" s="35" t="n">
        <v>4670</v>
      </c>
      <c r="H792" s="35" t="n">
        <v>4071</v>
      </c>
      <c r="I792" s="28" t="str">
        <f aca="false">INDEX(Campaigns!$C$2:$C$31,MATCH(B792,Campaigns!$A$2:$A$31,0))</f>
        <v>Influencer Partnerships</v>
      </c>
      <c r="J792" s="40" t="n">
        <f aca="false">DATE(YEAR(A792),MONTH(A792),1)</f>
        <v>46235</v>
      </c>
    </row>
    <row r="793" customFormat="false" ht="15" hidden="false" customHeight="false" outlineLevel="0" collapsed="false">
      <c r="A793" s="34" t="n">
        <v>46257</v>
      </c>
      <c r="B793" s="28" t="s">
        <v>156</v>
      </c>
      <c r="C793" s="35" t="n">
        <v>43312</v>
      </c>
      <c r="D793" s="35" t="n">
        <v>430</v>
      </c>
      <c r="E793" s="35" t="n">
        <v>58</v>
      </c>
      <c r="F793" s="35" t="n">
        <v>8</v>
      </c>
      <c r="G793" s="35" t="n">
        <v>28090</v>
      </c>
      <c r="H793" s="35" t="n">
        <v>7650</v>
      </c>
      <c r="I793" s="28" t="str">
        <f aca="false">INDEX(Campaigns!$C$2:$C$31,MATCH(B793,Campaigns!$A$2:$A$31,0))</f>
        <v>TikTok Ads</v>
      </c>
      <c r="J793" s="40" t="n">
        <f aca="false">DATE(YEAR(A793),MONTH(A793),1)</f>
        <v>46235</v>
      </c>
    </row>
    <row r="794" customFormat="false" ht="15" hidden="false" customHeight="false" outlineLevel="0" collapsed="false">
      <c r="A794" s="34" t="n">
        <v>46257</v>
      </c>
      <c r="B794" s="28" t="s">
        <v>158</v>
      </c>
      <c r="C794" s="35" t="n">
        <v>18999</v>
      </c>
      <c r="D794" s="35" t="n">
        <v>171</v>
      </c>
      <c r="E794" s="35" t="n">
        <v>20</v>
      </c>
      <c r="F794" s="35" t="n">
        <v>1</v>
      </c>
      <c r="G794" s="35" t="n">
        <v>3310</v>
      </c>
      <c r="H794" s="35" t="n">
        <v>11773</v>
      </c>
      <c r="I794" s="28" t="str">
        <f aca="false">INDEX(Campaigns!$C$2:$C$31,MATCH(B794,Campaigns!$A$2:$A$31,0))</f>
        <v>Influencer Partnerships</v>
      </c>
      <c r="J794" s="40" t="n">
        <f aca="false">DATE(YEAR(A794),MONTH(A794),1)</f>
        <v>46235</v>
      </c>
    </row>
    <row r="795" customFormat="false" ht="15" hidden="false" customHeight="false" outlineLevel="0" collapsed="false">
      <c r="A795" s="34" t="n">
        <v>46257</v>
      </c>
      <c r="B795" s="28" t="s">
        <v>159</v>
      </c>
      <c r="C795" s="35" t="n">
        <v>30888</v>
      </c>
      <c r="D795" s="35" t="n">
        <v>441</v>
      </c>
      <c r="E795" s="35" t="n">
        <v>57</v>
      </c>
      <c r="F795" s="35" t="n">
        <v>8</v>
      </c>
      <c r="G795" s="35" t="n">
        <v>30430</v>
      </c>
      <c r="H795" s="35" t="n">
        <v>7671</v>
      </c>
      <c r="I795" s="28" t="str">
        <f aca="false">INDEX(Campaigns!$C$2:$C$31,MATCH(B795,Campaigns!$A$2:$A$31,0))</f>
        <v>Facebook &amp; Instagram Ads</v>
      </c>
      <c r="J795" s="40" t="n">
        <f aca="false">DATE(YEAR(A795),MONTH(A795),1)</f>
        <v>46235</v>
      </c>
    </row>
    <row r="796" customFormat="false" ht="15" hidden="false" customHeight="false" outlineLevel="0" collapsed="false">
      <c r="A796" s="34" t="n">
        <v>46257</v>
      </c>
      <c r="B796" s="28" t="s">
        <v>161</v>
      </c>
      <c r="C796" s="35" t="n">
        <v>43856</v>
      </c>
      <c r="D796" s="35" t="n">
        <v>533</v>
      </c>
      <c r="E796" s="35" t="n">
        <v>8</v>
      </c>
      <c r="F796" s="35" t="n">
        <v>1</v>
      </c>
      <c r="G796" s="35" t="n">
        <v>5650</v>
      </c>
      <c r="H796" s="35" t="n">
        <v>10939</v>
      </c>
      <c r="I796" s="28" t="str">
        <f aca="false">INDEX(Campaigns!$C$2:$C$31,MATCH(B796,Campaigns!$A$2:$A$31,0))</f>
        <v>Facebook &amp; Instagram Ads</v>
      </c>
      <c r="J796" s="40" t="n">
        <f aca="false">DATE(YEAR(A796),MONTH(A796),1)</f>
        <v>46235</v>
      </c>
    </row>
    <row r="797" customFormat="false" ht="15" hidden="false" customHeight="false" outlineLevel="0" collapsed="false">
      <c r="A797" s="34" t="n">
        <v>46258</v>
      </c>
      <c r="B797" s="28" t="s">
        <v>105</v>
      </c>
      <c r="C797" s="35" t="n">
        <v>5993</v>
      </c>
      <c r="D797" s="35" t="n">
        <v>230</v>
      </c>
      <c r="E797" s="35" t="n">
        <v>4</v>
      </c>
      <c r="F797" s="35" t="n">
        <v>4</v>
      </c>
      <c r="G797" s="35" t="n">
        <v>16350</v>
      </c>
      <c r="H797" s="35" t="n">
        <v>5500</v>
      </c>
      <c r="I797" s="28" t="str">
        <f aca="false">INDEX(Campaigns!$C$2:$C$31,MATCH(B797,Campaigns!$A$2:$A$31,0))</f>
        <v>Google Search Ads</v>
      </c>
      <c r="J797" s="40" t="n">
        <f aca="false">DATE(YEAR(A797),MONTH(A797),1)</f>
        <v>46235</v>
      </c>
    </row>
    <row r="798" customFormat="false" ht="15" hidden="false" customHeight="false" outlineLevel="0" collapsed="false">
      <c r="A798" s="34" t="n">
        <v>46258</v>
      </c>
      <c r="B798" s="28" t="s">
        <v>108</v>
      </c>
      <c r="C798" s="35" t="n">
        <v>5537</v>
      </c>
      <c r="D798" s="35" t="n">
        <v>170</v>
      </c>
      <c r="E798" s="35" t="n">
        <v>2</v>
      </c>
      <c r="F798" s="35" t="n">
        <v>8</v>
      </c>
      <c r="G798" s="35" t="n">
        <v>26360</v>
      </c>
      <c r="H798" s="35" t="n">
        <v>2057</v>
      </c>
      <c r="I798" s="28" t="str">
        <f aca="false">INDEX(Campaigns!$C$2:$C$31,MATCH(B798,Campaigns!$A$2:$A$31,0))</f>
        <v>Email</v>
      </c>
      <c r="J798" s="40" t="n">
        <f aca="false">DATE(YEAR(A798),MONTH(A798),1)</f>
        <v>46235</v>
      </c>
    </row>
    <row r="799" customFormat="false" ht="15" hidden="false" customHeight="false" outlineLevel="0" collapsed="false">
      <c r="A799" s="34" t="n">
        <v>46258</v>
      </c>
      <c r="B799" s="28" t="s">
        <v>110</v>
      </c>
      <c r="C799" s="35" t="n">
        <v>13016</v>
      </c>
      <c r="D799" s="35" t="n">
        <v>99</v>
      </c>
      <c r="E799" s="35" t="n">
        <v>10</v>
      </c>
      <c r="F799" s="35" t="n">
        <v>0</v>
      </c>
      <c r="G799" s="35" t="n">
        <v>0</v>
      </c>
      <c r="H799" s="35" t="n">
        <v>7929</v>
      </c>
      <c r="I799" s="28" t="str">
        <f aca="false">INDEX(Campaigns!$C$2:$C$31,MATCH(B799,Campaigns!$A$2:$A$31,0))</f>
        <v>Influencer Partnerships</v>
      </c>
      <c r="J799" s="40" t="n">
        <f aca="false">DATE(YEAR(A799),MONTH(A799),1)</f>
        <v>46235</v>
      </c>
    </row>
    <row r="800" customFormat="false" ht="15" hidden="false" customHeight="false" outlineLevel="0" collapsed="false">
      <c r="A800" s="34" t="n">
        <v>46258</v>
      </c>
      <c r="B800" s="28" t="s">
        <v>114</v>
      </c>
      <c r="C800" s="35" t="n">
        <v>776</v>
      </c>
      <c r="D800" s="35" t="n">
        <v>39</v>
      </c>
      <c r="E800" s="35" t="n">
        <v>0</v>
      </c>
      <c r="F800" s="35" t="n">
        <v>2</v>
      </c>
      <c r="G800" s="35" t="n">
        <v>5530</v>
      </c>
      <c r="H800" s="35" t="n">
        <v>1173</v>
      </c>
      <c r="I800" s="28" t="str">
        <f aca="false">INDEX(Campaigns!$C$2:$C$31,MATCH(B800,Campaigns!$A$2:$A$31,0))</f>
        <v>WhatsApp Broadcast</v>
      </c>
      <c r="J800" s="40" t="n">
        <f aca="false">DATE(YEAR(A800),MONTH(A800),1)</f>
        <v>46235</v>
      </c>
    </row>
    <row r="801" customFormat="false" ht="15" hidden="false" customHeight="false" outlineLevel="0" collapsed="false">
      <c r="A801" s="34" t="n">
        <v>46258</v>
      </c>
      <c r="B801" s="28" t="s">
        <v>116</v>
      </c>
      <c r="C801" s="35" t="n">
        <v>26168</v>
      </c>
      <c r="D801" s="35" t="n">
        <v>307</v>
      </c>
      <c r="E801" s="35" t="n">
        <v>13</v>
      </c>
      <c r="F801" s="35" t="n">
        <v>4</v>
      </c>
      <c r="G801" s="35" t="n">
        <v>15210</v>
      </c>
      <c r="H801" s="35" t="n">
        <v>6197</v>
      </c>
      <c r="I801" s="28" t="str">
        <f aca="false">INDEX(Campaigns!$C$2:$C$31,MATCH(B801,Campaigns!$A$2:$A$31,0))</f>
        <v>Facebook &amp; Instagram Ads</v>
      </c>
      <c r="J801" s="40" t="n">
        <f aca="false">DATE(YEAR(A801),MONTH(A801),1)</f>
        <v>46235</v>
      </c>
    </row>
    <row r="802" customFormat="false" ht="15" hidden="false" customHeight="false" outlineLevel="0" collapsed="false">
      <c r="A802" s="34" t="n">
        <v>46258</v>
      </c>
      <c r="B802" s="28" t="s">
        <v>118</v>
      </c>
      <c r="C802" s="35" t="n">
        <v>2990</v>
      </c>
      <c r="D802" s="35" t="n">
        <v>147</v>
      </c>
      <c r="E802" s="35" t="n">
        <v>5</v>
      </c>
      <c r="F802" s="35" t="n">
        <v>5</v>
      </c>
      <c r="G802" s="35" t="n">
        <v>18960</v>
      </c>
      <c r="H802" s="35" t="n">
        <v>2691</v>
      </c>
      <c r="I802" s="28" t="str">
        <f aca="false">INDEX(Campaigns!$C$2:$C$31,MATCH(B802,Campaigns!$A$2:$A$31,0))</f>
        <v>Google Search Ads</v>
      </c>
      <c r="J802" s="40" t="n">
        <f aca="false">DATE(YEAR(A802),MONTH(A802),1)</f>
        <v>46235</v>
      </c>
    </row>
    <row r="803" customFormat="false" ht="15" hidden="false" customHeight="false" outlineLevel="0" collapsed="false">
      <c r="A803" s="34" t="n">
        <v>46258</v>
      </c>
      <c r="B803" s="28" t="s">
        <v>124</v>
      </c>
      <c r="C803" s="35" t="n">
        <v>6985</v>
      </c>
      <c r="D803" s="35" t="n">
        <v>143</v>
      </c>
      <c r="E803" s="35" t="n">
        <v>9</v>
      </c>
      <c r="F803" s="35" t="n">
        <v>2</v>
      </c>
      <c r="G803" s="35" t="n">
        <v>7110</v>
      </c>
      <c r="H803" s="35" t="n">
        <v>2651</v>
      </c>
      <c r="I803" s="28" t="str">
        <f aca="false">INDEX(Campaigns!$C$2:$C$31,MATCH(B803,Campaigns!$A$2:$A$31,0))</f>
        <v>Email</v>
      </c>
      <c r="J803" s="40" t="n">
        <f aca="false">DATE(YEAR(A803),MONTH(A803),1)</f>
        <v>46235</v>
      </c>
    </row>
    <row r="804" customFormat="false" ht="15" hidden="false" customHeight="false" outlineLevel="0" collapsed="false">
      <c r="A804" s="34" t="n">
        <v>46258</v>
      </c>
      <c r="B804" s="28" t="s">
        <v>126</v>
      </c>
      <c r="C804" s="35" t="n">
        <v>16931</v>
      </c>
      <c r="D804" s="35" t="n">
        <v>117</v>
      </c>
      <c r="E804" s="35" t="n">
        <v>6</v>
      </c>
      <c r="F804" s="35" t="n">
        <v>2</v>
      </c>
      <c r="G804" s="35" t="n">
        <v>5310</v>
      </c>
      <c r="H804" s="35" t="n">
        <v>2797</v>
      </c>
      <c r="I804" s="28" t="str">
        <f aca="false">INDEX(Campaigns!$C$2:$C$31,MATCH(B804,Campaigns!$A$2:$A$31,0))</f>
        <v>TikTok Ads</v>
      </c>
      <c r="J804" s="40" t="n">
        <f aca="false">DATE(YEAR(A804),MONTH(A804),1)</f>
        <v>46235</v>
      </c>
    </row>
    <row r="805" customFormat="false" ht="15" hidden="false" customHeight="false" outlineLevel="0" collapsed="false">
      <c r="A805" s="34" t="n">
        <v>46258</v>
      </c>
      <c r="B805" s="28" t="s">
        <v>130</v>
      </c>
      <c r="C805" s="35" t="n">
        <v>3483</v>
      </c>
      <c r="D805" s="35" t="n">
        <v>302</v>
      </c>
      <c r="E805" s="35" t="n">
        <v>11</v>
      </c>
      <c r="F805" s="35" t="n">
        <v>30</v>
      </c>
      <c r="G805" s="35" t="n">
        <v>88070</v>
      </c>
      <c r="H805" s="35" t="n">
        <v>4685</v>
      </c>
      <c r="I805" s="28" t="str">
        <f aca="false">INDEX(Campaigns!$C$2:$C$31,MATCH(B805,Campaigns!$A$2:$A$31,0))</f>
        <v>WhatsApp Broadcast</v>
      </c>
      <c r="J805" s="40" t="n">
        <f aca="false">DATE(YEAR(A805),MONTH(A805),1)</f>
        <v>46235</v>
      </c>
    </row>
    <row r="806" customFormat="false" ht="15" hidden="false" customHeight="false" outlineLevel="0" collapsed="false">
      <c r="A806" s="34" t="n">
        <v>46258</v>
      </c>
      <c r="B806" s="28" t="s">
        <v>132</v>
      </c>
      <c r="C806" s="35" t="n">
        <v>34401</v>
      </c>
      <c r="D806" s="35" t="n">
        <v>432</v>
      </c>
      <c r="E806" s="35" t="n">
        <v>54</v>
      </c>
      <c r="F806" s="35" t="n">
        <v>8</v>
      </c>
      <c r="G806" s="35" t="n">
        <v>23850</v>
      </c>
      <c r="H806" s="35" t="n">
        <v>9307</v>
      </c>
      <c r="I806" s="28" t="str">
        <f aca="false">INDEX(Campaigns!$C$2:$C$31,MATCH(B806,Campaigns!$A$2:$A$31,0))</f>
        <v>Facebook &amp; Instagram Ads</v>
      </c>
      <c r="J806" s="40" t="n">
        <f aca="false">DATE(YEAR(A806),MONTH(A806),1)</f>
        <v>46235</v>
      </c>
    </row>
    <row r="807" customFormat="false" ht="15" hidden="false" customHeight="false" outlineLevel="0" collapsed="false">
      <c r="A807" s="34" t="n">
        <v>46258</v>
      </c>
      <c r="B807" s="28" t="s">
        <v>141</v>
      </c>
      <c r="C807" s="35" t="n">
        <v>6292</v>
      </c>
      <c r="D807" s="35" t="n">
        <v>223</v>
      </c>
      <c r="E807" s="35" t="n">
        <v>10</v>
      </c>
      <c r="F807" s="35" t="n">
        <v>13</v>
      </c>
      <c r="G807" s="35" t="n">
        <v>38090</v>
      </c>
      <c r="H807" s="35" t="n">
        <v>2196</v>
      </c>
      <c r="I807" s="28" t="str">
        <f aca="false">INDEX(Campaigns!$C$2:$C$31,MATCH(B807,Campaigns!$A$2:$A$31,0))</f>
        <v>Email</v>
      </c>
      <c r="J807" s="40" t="n">
        <f aca="false">DATE(YEAR(A807),MONTH(A807),1)</f>
        <v>46235</v>
      </c>
    </row>
    <row r="808" customFormat="false" ht="15" hidden="false" customHeight="false" outlineLevel="0" collapsed="false">
      <c r="A808" s="34" t="n">
        <v>46258</v>
      </c>
      <c r="B808" s="28" t="s">
        <v>145</v>
      </c>
      <c r="C808" s="35" t="n">
        <v>7594</v>
      </c>
      <c r="D808" s="35" t="n">
        <v>391</v>
      </c>
      <c r="E808" s="35" t="n">
        <v>17</v>
      </c>
      <c r="F808" s="35" t="n">
        <v>27</v>
      </c>
      <c r="G808" s="35" t="n">
        <v>95180</v>
      </c>
      <c r="H808" s="35" t="n">
        <v>7092</v>
      </c>
      <c r="I808" s="28" t="str">
        <f aca="false">INDEX(Campaigns!$C$2:$C$31,MATCH(B808,Campaigns!$A$2:$A$31,0))</f>
        <v>Google Search Ads</v>
      </c>
      <c r="J808" s="40" t="n">
        <f aca="false">DATE(YEAR(A808),MONTH(A808),1)</f>
        <v>46235</v>
      </c>
    </row>
    <row r="809" customFormat="false" ht="15" hidden="false" customHeight="false" outlineLevel="0" collapsed="false">
      <c r="A809" s="34" t="n">
        <v>46258</v>
      </c>
      <c r="B809" s="28" t="s">
        <v>147</v>
      </c>
      <c r="C809" s="35" t="n">
        <v>21202</v>
      </c>
      <c r="D809" s="35" t="n">
        <v>282</v>
      </c>
      <c r="E809" s="35" t="n">
        <v>7</v>
      </c>
      <c r="F809" s="35" t="n">
        <v>1</v>
      </c>
      <c r="G809" s="35" t="n">
        <v>3590</v>
      </c>
      <c r="H809" s="35" t="n">
        <v>5711</v>
      </c>
      <c r="I809" s="28" t="str">
        <f aca="false">INDEX(Campaigns!$C$2:$C$31,MATCH(B809,Campaigns!$A$2:$A$31,0))</f>
        <v>Facebook &amp; Instagram Ads</v>
      </c>
      <c r="J809" s="40" t="n">
        <f aca="false">DATE(YEAR(A809),MONTH(A809),1)</f>
        <v>46235</v>
      </c>
    </row>
    <row r="810" customFormat="false" ht="15" hidden="false" customHeight="false" outlineLevel="0" collapsed="false">
      <c r="A810" s="34" t="n">
        <v>46258</v>
      </c>
      <c r="B810" s="28" t="s">
        <v>152</v>
      </c>
      <c r="C810" s="35" t="n">
        <v>7401</v>
      </c>
      <c r="D810" s="35" t="n">
        <v>71</v>
      </c>
      <c r="E810" s="35" t="n">
        <v>7</v>
      </c>
      <c r="F810" s="35" t="n">
        <v>3</v>
      </c>
      <c r="G810" s="35" t="n">
        <v>9080</v>
      </c>
      <c r="H810" s="35" t="n">
        <v>4879</v>
      </c>
      <c r="I810" s="28" t="str">
        <f aca="false">INDEX(Campaigns!$C$2:$C$31,MATCH(B810,Campaigns!$A$2:$A$31,0))</f>
        <v>Influencer Partnerships</v>
      </c>
      <c r="J810" s="40" t="n">
        <f aca="false">DATE(YEAR(A810),MONTH(A810),1)</f>
        <v>46235</v>
      </c>
    </row>
    <row r="811" customFormat="false" ht="15" hidden="false" customHeight="false" outlineLevel="0" collapsed="false">
      <c r="A811" s="34" t="n">
        <v>46258</v>
      </c>
      <c r="B811" s="28" t="s">
        <v>154</v>
      </c>
      <c r="C811" s="35" t="n">
        <v>5965</v>
      </c>
      <c r="D811" s="35" t="n">
        <v>53</v>
      </c>
      <c r="E811" s="35" t="n">
        <v>4</v>
      </c>
      <c r="F811" s="35" t="n">
        <v>1</v>
      </c>
      <c r="G811" s="35" t="n">
        <v>4460</v>
      </c>
      <c r="H811" s="35" t="n">
        <v>3784</v>
      </c>
      <c r="I811" s="28" t="str">
        <f aca="false">INDEX(Campaigns!$C$2:$C$31,MATCH(B811,Campaigns!$A$2:$A$31,0))</f>
        <v>Influencer Partnerships</v>
      </c>
      <c r="J811" s="40" t="n">
        <f aca="false">DATE(YEAR(A811),MONTH(A811),1)</f>
        <v>46235</v>
      </c>
    </row>
    <row r="812" customFormat="false" ht="15" hidden="false" customHeight="false" outlineLevel="0" collapsed="false">
      <c r="A812" s="34" t="n">
        <v>46258</v>
      </c>
      <c r="B812" s="28" t="s">
        <v>156</v>
      </c>
      <c r="C812" s="35" t="n">
        <v>50220</v>
      </c>
      <c r="D812" s="35" t="n">
        <v>501</v>
      </c>
      <c r="E812" s="35" t="n">
        <v>82</v>
      </c>
      <c r="F812" s="35" t="n">
        <v>16</v>
      </c>
      <c r="G812" s="35" t="n">
        <v>44370</v>
      </c>
      <c r="H812" s="35" t="n">
        <v>8364</v>
      </c>
      <c r="I812" s="28" t="str">
        <f aca="false">INDEX(Campaigns!$C$2:$C$31,MATCH(B812,Campaigns!$A$2:$A$31,0))</f>
        <v>TikTok Ads</v>
      </c>
      <c r="J812" s="40" t="n">
        <f aca="false">DATE(YEAR(A812),MONTH(A812),1)</f>
        <v>46235</v>
      </c>
    </row>
    <row r="813" customFormat="false" ht="15" hidden="false" customHeight="false" outlineLevel="0" collapsed="false">
      <c r="A813" s="34" t="n">
        <v>46258</v>
      </c>
      <c r="B813" s="28" t="s">
        <v>158</v>
      </c>
      <c r="C813" s="35" t="n">
        <v>15803</v>
      </c>
      <c r="D813" s="35" t="n">
        <v>134</v>
      </c>
      <c r="E813" s="35" t="n">
        <v>19</v>
      </c>
      <c r="F813" s="35" t="n">
        <v>2</v>
      </c>
      <c r="G813" s="35" t="n">
        <v>7740</v>
      </c>
      <c r="H813" s="35" t="n">
        <v>10132</v>
      </c>
      <c r="I813" s="28" t="str">
        <f aca="false">INDEX(Campaigns!$C$2:$C$31,MATCH(B813,Campaigns!$A$2:$A$31,0))</f>
        <v>Influencer Partnerships</v>
      </c>
      <c r="J813" s="40" t="n">
        <f aca="false">DATE(YEAR(A813),MONTH(A813),1)</f>
        <v>46235</v>
      </c>
    </row>
    <row r="814" customFormat="false" ht="15" hidden="false" customHeight="false" outlineLevel="0" collapsed="false">
      <c r="A814" s="34" t="n">
        <v>46258</v>
      </c>
      <c r="B814" s="28" t="s">
        <v>159</v>
      </c>
      <c r="C814" s="35" t="n">
        <v>24820</v>
      </c>
      <c r="D814" s="35" t="n">
        <v>378</v>
      </c>
      <c r="E814" s="35" t="n">
        <v>51</v>
      </c>
      <c r="F814" s="35" t="n">
        <v>8</v>
      </c>
      <c r="G814" s="35" t="n">
        <v>23790</v>
      </c>
      <c r="H814" s="35" t="n">
        <v>6782</v>
      </c>
      <c r="I814" s="28" t="str">
        <f aca="false">INDEX(Campaigns!$C$2:$C$31,MATCH(B814,Campaigns!$A$2:$A$31,0))</f>
        <v>Facebook &amp; Instagram Ads</v>
      </c>
      <c r="J814" s="40" t="n">
        <f aca="false">DATE(YEAR(A814),MONTH(A814),1)</f>
        <v>46235</v>
      </c>
    </row>
    <row r="815" customFormat="false" ht="15" hidden="false" customHeight="false" outlineLevel="0" collapsed="false">
      <c r="A815" s="34" t="n">
        <v>46258</v>
      </c>
      <c r="B815" s="28" t="s">
        <v>161</v>
      </c>
      <c r="C815" s="35" t="n">
        <v>35677</v>
      </c>
      <c r="D815" s="35" t="n">
        <v>451</v>
      </c>
      <c r="E815" s="35" t="n">
        <v>15</v>
      </c>
      <c r="F815" s="35" t="n">
        <v>1</v>
      </c>
      <c r="G815" s="35" t="n">
        <v>1810</v>
      </c>
      <c r="H815" s="35" t="n">
        <v>9741</v>
      </c>
      <c r="I815" s="28" t="str">
        <f aca="false">INDEX(Campaigns!$C$2:$C$31,MATCH(B815,Campaigns!$A$2:$A$31,0))</f>
        <v>Facebook &amp; Instagram Ads</v>
      </c>
      <c r="J815" s="40" t="n">
        <f aca="false">DATE(YEAR(A815),MONTH(A815),1)</f>
        <v>46235</v>
      </c>
    </row>
    <row r="816" customFormat="false" ht="15" hidden="false" customHeight="false" outlineLevel="0" collapsed="false">
      <c r="A816" s="34" t="n">
        <v>46258</v>
      </c>
      <c r="B816" s="28" t="s">
        <v>163</v>
      </c>
      <c r="C816" s="35" t="n">
        <v>1547</v>
      </c>
      <c r="D816" s="35" t="n">
        <v>50</v>
      </c>
      <c r="E816" s="35" t="n">
        <v>1</v>
      </c>
      <c r="F816" s="35" t="n">
        <v>1</v>
      </c>
      <c r="G816" s="35" t="n">
        <v>4160</v>
      </c>
      <c r="H816" s="35" t="n">
        <v>517</v>
      </c>
      <c r="I816" s="28" t="str">
        <f aca="false">INDEX(Campaigns!$C$2:$C$31,MATCH(B816,Campaigns!$A$2:$A$31,0))</f>
        <v>Email</v>
      </c>
      <c r="J816" s="40" t="n">
        <f aca="false">DATE(YEAR(A816),MONTH(A816),1)</f>
        <v>46235</v>
      </c>
    </row>
    <row r="817" customFormat="false" ht="15" hidden="false" customHeight="false" outlineLevel="0" collapsed="false">
      <c r="A817" s="34" t="n">
        <v>46259</v>
      </c>
      <c r="B817" s="28" t="s">
        <v>105</v>
      </c>
      <c r="C817" s="35" t="n">
        <v>5064</v>
      </c>
      <c r="D817" s="35" t="n">
        <v>169</v>
      </c>
      <c r="E817" s="35" t="n">
        <v>7</v>
      </c>
      <c r="F817" s="35" t="n">
        <v>4</v>
      </c>
      <c r="G817" s="35" t="n">
        <v>17680</v>
      </c>
      <c r="H817" s="35" t="n">
        <v>4913</v>
      </c>
      <c r="I817" s="28" t="str">
        <f aca="false">INDEX(Campaigns!$C$2:$C$31,MATCH(B817,Campaigns!$A$2:$A$31,0))</f>
        <v>Google Search Ads</v>
      </c>
      <c r="J817" s="40" t="n">
        <f aca="false">DATE(YEAR(A817),MONTH(A817),1)</f>
        <v>46235</v>
      </c>
    </row>
    <row r="818" customFormat="false" ht="15" hidden="false" customHeight="false" outlineLevel="0" collapsed="false">
      <c r="A818" s="34" t="n">
        <v>46259</v>
      </c>
      <c r="B818" s="28" t="s">
        <v>108</v>
      </c>
      <c r="C818" s="35" t="n">
        <v>8039</v>
      </c>
      <c r="D818" s="35" t="n">
        <v>273</v>
      </c>
      <c r="E818" s="35" t="n">
        <v>11</v>
      </c>
      <c r="F818" s="35" t="n">
        <v>11</v>
      </c>
      <c r="G818" s="35" t="n">
        <v>35630</v>
      </c>
      <c r="H818" s="35" t="n">
        <v>2765</v>
      </c>
      <c r="I818" s="28" t="str">
        <f aca="false">INDEX(Campaigns!$C$2:$C$31,MATCH(B818,Campaigns!$A$2:$A$31,0))</f>
        <v>Email</v>
      </c>
      <c r="J818" s="40" t="n">
        <f aca="false">DATE(YEAR(A818),MONTH(A818),1)</f>
        <v>46235</v>
      </c>
    </row>
    <row r="819" customFormat="false" ht="15" hidden="false" customHeight="false" outlineLevel="0" collapsed="false">
      <c r="A819" s="34" t="n">
        <v>46259</v>
      </c>
      <c r="B819" s="28" t="s">
        <v>110</v>
      </c>
      <c r="C819" s="35" t="n">
        <v>14774</v>
      </c>
      <c r="D819" s="35" t="n">
        <v>150</v>
      </c>
      <c r="E819" s="35" t="n">
        <v>25</v>
      </c>
      <c r="F819" s="35" t="n">
        <v>5</v>
      </c>
      <c r="G819" s="35" t="n">
        <v>14080</v>
      </c>
      <c r="H819" s="35" t="n">
        <v>8862</v>
      </c>
      <c r="I819" s="28" t="str">
        <f aca="false">INDEX(Campaigns!$C$2:$C$31,MATCH(B819,Campaigns!$A$2:$A$31,0))</f>
        <v>Influencer Partnerships</v>
      </c>
      <c r="J819" s="40" t="n">
        <f aca="false">DATE(YEAR(A819),MONTH(A819),1)</f>
        <v>46235</v>
      </c>
    </row>
    <row r="820" customFormat="false" ht="15" hidden="false" customHeight="false" outlineLevel="0" collapsed="false">
      <c r="A820" s="34" t="n">
        <v>46259</v>
      </c>
      <c r="B820" s="28" t="s">
        <v>114</v>
      </c>
      <c r="C820" s="35" t="n">
        <v>637</v>
      </c>
      <c r="D820" s="35" t="n">
        <v>40</v>
      </c>
      <c r="E820" s="35" t="n">
        <v>2</v>
      </c>
      <c r="F820" s="35" t="n">
        <v>4</v>
      </c>
      <c r="G820" s="35" t="n">
        <v>11410</v>
      </c>
      <c r="H820" s="35" t="n">
        <v>966</v>
      </c>
      <c r="I820" s="28" t="str">
        <f aca="false">INDEX(Campaigns!$C$2:$C$31,MATCH(B820,Campaigns!$A$2:$A$31,0))</f>
        <v>WhatsApp Broadcast</v>
      </c>
      <c r="J820" s="40" t="n">
        <f aca="false">DATE(YEAR(A820),MONTH(A820),1)</f>
        <v>46235</v>
      </c>
    </row>
    <row r="821" customFormat="false" ht="15" hidden="false" customHeight="false" outlineLevel="0" collapsed="false">
      <c r="A821" s="34" t="n">
        <v>46259</v>
      </c>
      <c r="B821" s="28" t="s">
        <v>116</v>
      </c>
      <c r="C821" s="35" t="n">
        <v>21438</v>
      </c>
      <c r="D821" s="35" t="n">
        <v>235</v>
      </c>
      <c r="E821" s="35" t="n">
        <v>7</v>
      </c>
      <c r="F821" s="35" t="n">
        <v>5</v>
      </c>
      <c r="G821" s="35" t="n">
        <v>18900</v>
      </c>
      <c r="H821" s="35" t="n">
        <v>5736</v>
      </c>
      <c r="I821" s="28" t="str">
        <f aca="false">INDEX(Campaigns!$C$2:$C$31,MATCH(B821,Campaigns!$A$2:$A$31,0))</f>
        <v>Facebook &amp; Instagram Ads</v>
      </c>
      <c r="J821" s="40" t="n">
        <f aca="false">DATE(YEAR(A821),MONTH(A821),1)</f>
        <v>46235</v>
      </c>
    </row>
    <row r="822" customFormat="false" ht="15" hidden="false" customHeight="false" outlineLevel="0" collapsed="false">
      <c r="A822" s="34" t="n">
        <v>46259</v>
      </c>
      <c r="B822" s="28" t="s">
        <v>118</v>
      </c>
      <c r="C822" s="35" t="n">
        <v>2820</v>
      </c>
      <c r="D822" s="35" t="n">
        <v>144</v>
      </c>
      <c r="E822" s="35" t="n">
        <v>5</v>
      </c>
      <c r="F822" s="35" t="n">
        <v>9</v>
      </c>
      <c r="G822" s="35" t="n">
        <v>30750</v>
      </c>
      <c r="H822" s="35" t="n">
        <v>2573</v>
      </c>
      <c r="I822" s="28" t="str">
        <f aca="false">INDEX(Campaigns!$C$2:$C$31,MATCH(B822,Campaigns!$A$2:$A$31,0))</f>
        <v>Google Search Ads</v>
      </c>
      <c r="J822" s="40" t="n">
        <f aca="false">DATE(YEAR(A822),MONTH(A822),1)</f>
        <v>46235</v>
      </c>
    </row>
    <row r="823" customFormat="false" ht="15" hidden="false" customHeight="false" outlineLevel="0" collapsed="false">
      <c r="A823" s="34" t="n">
        <v>46259</v>
      </c>
      <c r="B823" s="28" t="s">
        <v>124</v>
      </c>
      <c r="C823" s="35" t="n">
        <v>7019</v>
      </c>
      <c r="D823" s="35" t="n">
        <v>134</v>
      </c>
      <c r="E823" s="35" t="n">
        <v>4</v>
      </c>
      <c r="F823" s="35" t="n">
        <v>2</v>
      </c>
      <c r="G823" s="35" t="n">
        <v>7680</v>
      </c>
      <c r="H823" s="35" t="n">
        <v>2396</v>
      </c>
      <c r="I823" s="28" t="str">
        <f aca="false">INDEX(Campaigns!$C$2:$C$31,MATCH(B823,Campaigns!$A$2:$A$31,0))</f>
        <v>Email</v>
      </c>
      <c r="J823" s="40" t="n">
        <f aca="false">DATE(YEAR(A823),MONTH(A823),1)</f>
        <v>46235</v>
      </c>
    </row>
    <row r="824" customFormat="false" ht="15" hidden="false" customHeight="false" outlineLevel="0" collapsed="false">
      <c r="A824" s="34" t="n">
        <v>46259</v>
      </c>
      <c r="B824" s="28" t="s">
        <v>126</v>
      </c>
      <c r="C824" s="35" t="n">
        <v>18246</v>
      </c>
      <c r="D824" s="35" t="n">
        <v>115</v>
      </c>
      <c r="E824" s="35" t="n">
        <v>4</v>
      </c>
      <c r="F824" s="35" t="n">
        <v>2</v>
      </c>
      <c r="G824" s="35" t="n">
        <v>5620</v>
      </c>
      <c r="H824" s="35" t="n">
        <v>3059</v>
      </c>
      <c r="I824" s="28" t="str">
        <f aca="false">INDEX(Campaigns!$C$2:$C$31,MATCH(B824,Campaigns!$A$2:$A$31,0))</f>
        <v>TikTok Ads</v>
      </c>
      <c r="J824" s="40" t="n">
        <f aca="false">DATE(YEAR(A824),MONTH(A824),1)</f>
        <v>46235</v>
      </c>
    </row>
    <row r="825" customFormat="false" ht="15" hidden="false" customHeight="false" outlineLevel="0" collapsed="false">
      <c r="A825" s="34" t="n">
        <v>46259</v>
      </c>
      <c r="B825" s="28" t="s">
        <v>130</v>
      </c>
      <c r="C825" s="35" t="n">
        <v>2386</v>
      </c>
      <c r="D825" s="35" t="n">
        <v>224</v>
      </c>
      <c r="E825" s="35" t="n">
        <v>5</v>
      </c>
      <c r="F825" s="35" t="n">
        <v>18</v>
      </c>
      <c r="G825" s="35" t="n">
        <v>50520</v>
      </c>
      <c r="H825" s="35" t="n">
        <v>3688</v>
      </c>
      <c r="I825" s="28" t="str">
        <f aca="false">INDEX(Campaigns!$C$2:$C$31,MATCH(B825,Campaigns!$A$2:$A$31,0))</f>
        <v>WhatsApp Broadcast</v>
      </c>
      <c r="J825" s="40" t="n">
        <f aca="false">DATE(YEAR(A825),MONTH(A825),1)</f>
        <v>46235</v>
      </c>
    </row>
    <row r="826" customFormat="false" ht="15" hidden="false" customHeight="false" outlineLevel="0" collapsed="false">
      <c r="A826" s="34" t="n">
        <v>46259</v>
      </c>
      <c r="B826" s="28" t="s">
        <v>132</v>
      </c>
      <c r="C826" s="35" t="n">
        <v>27861</v>
      </c>
      <c r="D826" s="35" t="n">
        <v>343</v>
      </c>
      <c r="E826" s="35" t="n">
        <v>50</v>
      </c>
      <c r="F826" s="35" t="n">
        <v>5</v>
      </c>
      <c r="G826" s="35" t="n">
        <v>17250</v>
      </c>
      <c r="H826" s="35" t="n">
        <v>7338</v>
      </c>
      <c r="I826" s="28" t="str">
        <f aca="false">INDEX(Campaigns!$C$2:$C$31,MATCH(B826,Campaigns!$A$2:$A$31,0))</f>
        <v>Facebook &amp; Instagram Ads</v>
      </c>
      <c r="J826" s="40" t="n">
        <f aca="false">DATE(YEAR(A826),MONTH(A826),1)</f>
        <v>46235</v>
      </c>
    </row>
    <row r="827" customFormat="false" ht="15" hidden="false" customHeight="false" outlineLevel="0" collapsed="false">
      <c r="A827" s="34" t="n">
        <v>46259</v>
      </c>
      <c r="B827" s="28" t="s">
        <v>139</v>
      </c>
      <c r="C827" s="35" t="n">
        <v>15900</v>
      </c>
      <c r="D827" s="35" t="n">
        <v>163</v>
      </c>
      <c r="E827" s="35" t="n">
        <v>3</v>
      </c>
      <c r="F827" s="35" t="n">
        <v>5</v>
      </c>
      <c r="G827" s="35" t="n">
        <v>17030</v>
      </c>
      <c r="H827" s="35" t="n">
        <v>2670</v>
      </c>
      <c r="I827" s="28" t="str">
        <f aca="false">INDEX(Campaigns!$C$2:$C$31,MATCH(B827,Campaigns!$A$2:$A$31,0))</f>
        <v>TikTok Ads</v>
      </c>
      <c r="J827" s="40" t="n">
        <f aca="false">DATE(YEAR(A827),MONTH(A827),1)</f>
        <v>46235</v>
      </c>
    </row>
    <row r="828" customFormat="false" ht="15" hidden="false" customHeight="false" outlineLevel="0" collapsed="false">
      <c r="A828" s="34" t="n">
        <v>46259</v>
      </c>
      <c r="B828" s="28" t="s">
        <v>141</v>
      </c>
      <c r="C828" s="35" t="n">
        <v>6459</v>
      </c>
      <c r="D828" s="35" t="n">
        <v>216</v>
      </c>
      <c r="E828" s="35" t="n">
        <v>8</v>
      </c>
      <c r="F828" s="35" t="n">
        <v>7</v>
      </c>
      <c r="G828" s="35" t="n">
        <v>25160</v>
      </c>
      <c r="H828" s="35" t="n">
        <v>2190</v>
      </c>
      <c r="I828" s="28" t="str">
        <f aca="false">INDEX(Campaigns!$C$2:$C$31,MATCH(B828,Campaigns!$A$2:$A$31,0))</f>
        <v>Email</v>
      </c>
      <c r="J828" s="40" t="n">
        <f aca="false">DATE(YEAR(A828),MONTH(A828),1)</f>
        <v>46235</v>
      </c>
    </row>
    <row r="829" customFormat="false" ht="15" hidden="false" customHeight="false" outlineLevel="0" collapsed="false">
      <c r="A829" s="34" t="n">
        <v>46259</v>
      </c>
      <c r="B829" s="28" t="s">
        <v>145</v>
      </c>
      <c r="C829" s="35" t="n">
        <v>7549</v>
      </c>
      <c r="D829" s="35" t="n">
        <v>418</v>
      </c>
      <c r="E829" s="35" t="n">
        <v>19</v>
      </c>
      <c r="F829" s="35" t="n">
        <v>20</v>
      </c>
      <c r="G829" s="35" t="n">
        <v>72660</v>
      </c>
      <c r="H829" s="35" t="n">
        <v>6447</v>
      </c>
      <c r="I829" s="28" t="str">
        <f aca="false">INDEX(Campaigns!$C$2:$C$31,MATCH(B829,Campaigns!$A$2:$A$31,0))</f>
        <v>Google Search Ads</v>
      </c>
      <c r="J829" s="40" t="n">
        <f aca="false">DATE(YEAR(A829),MONTH(A829),1)</f>
        <v>46235</v>
      </c>
    </row>
    <row r="830" customFormat="false" ht="15" hidden="false" customHeight="false" outlineLevel="0" collapsed="false">
      <c r="A830" s="34" t="n">
        <v>46259</v>
      </c>
      <c r="B830" s="28" t="s">
        <v>147</v>
      </c>
      <c r="C830" s="35" t="n">
        <v>21674</v>
      </c>
      <c r="D830" s="35" t="n">
        <v>277</v>
      </c>
      <c r="E830" s="35" t="n">
        <v>6</v>
      </c>
      <c r="F830" s="35" t="n">
        <v>1</v>
      </c>
      <c r="G830" s="35" t="n">
        <v>1740</v>
      </c>
      <c r="H830" s="35" t="n">
        <v>5818</v>
      </c>
      <c r="I830" s="28" t="str">
        <f aca="false">INDEX(Campaigns!$C$2:$C$31,MATCH(B830,Campaigns!$A$2:$A$31,0))</f>
        <v>Facebook &amp; Instagram Ads</v>
      </c>
      <c r="J830" s="40" t="n">
        <f aca="false">DATE(YEAR(A830),MONTH(A830),1)</f>
        <v>46235</v>
      </c>
    </row>
    <row r="831" customFormat="false" ht="15" hidden="false" customHeight="false" outlineLevel="0" collapsed="false">
      <c r="A831" s="34" t="n">
        <v>46259</v>
      </c>
      <c r="B831" s="28" t="s">
        <v>152</v>
      </c>
      <c r="C831" s="35" t="n">
        <v>6651</v>
      </c>
      <c r="D831" s="35" t="n">
        <v>70</v>
      </c>
      <c r="E831" s="35" t="n">
        <v>2</v>
      </c>
      <c r="F831" s="35" t="n">
        <v>0</v>
      </c>
      <c r="G831" s="35" t="n">
        <v>0</v>
      </c>
      <c r="H831" s="35" t="n">
        <v>4392</v>
      </c>
      <c r="I831" s="28" t="str">
        <f aca="false">INDEX(Campaigns!$C$2:$C$31,MATCH(B831,Campaigns!$A$2:$A$31,0))</f>
        <v>Influencer Partnerships</v>
      </c>
      <c r="J831" s="40" t="n">
        <f aca="false">DATE(YEAR(A831),MONTH(A831),1)</f>
        <v>46235</v>
      </c>
    </row>
    <row r="832" customFormat="false" ht="15" hidden="false" customHeight="false" outlineLevel="0" collapsed="false">
      <c r="A832" s="34" t="n">
        <v>46259</v>
      </c>
      <c r="B832" s="28" t="s">
        <v>154</v>
      </c>
      <c r="C832" s="35" t="n">
        <v>7227</v>
      </c>
      <c r="D832" s="35" t="n">
        <v>55</v>
      </c>
      <c r="E832" s="35" t="n">
        <v>3</v>
      </c>
      <c r="F832" s="35" t="n">
        <v>1</v>
      </c>
      <c r="G832" s="35" t="n">
        <v>4350</v>
      </c>
      <c r="H832" s="35" t="n">
        <v>4168</v>
      </c>
      <c r="I832" s="28" t="str">
        <f aca="false">INDEX(Campaigns!$C$2:$C$31,MATCH(B832,Campaigns!$A$2:$A$31,0))</f>
        <v>Influencer Partnerships</v>
      </c>
      <c r="J832" s="40" t="n">
        <f aca="false">DATE(YEAR(A832),MONTH(A832),1)</f>
        <v>46235</v>
      </c>
    </row>
    <row r="833" customFormat="false" ht="15" hidden="false" customHeight="false" outlineLevel="0" collapsed="false">
      <c r="A833" s="34" t="n">
        <v>46259</v>
      </c>
      <c r="B833" s="28" t="s">
        <v>156</v>
      </c>
      <c r="C833" s="35" t="n">
        <v>46256</v>
      </c>
      <c r="D833" s="35" t="n">
        <v>437</v>
      </c>
      <c r="E833" s="35" t="n">
        <v>47</v>
      </c>
      <c r="F833" s="35" t="n">
        <v>5</v>
      </c>
      <c r="G833" s="35" t="n">
        <v>10510</v>
      </c>
      <c r="H833" s="35" t="n">
        <v>8147</v>
      </c>
      <c r="I833" s="28" t="str">
        <f aca="false">INDEX(Campaigns!$C$2:$C$31,MATCH(B833,Campaigns!$A$2:$A$31,0))</f>
        <v>TikTok Ads</v>
      </c>
      <c r="J833" s="40" t="n">
        <f aca="false">DATE(YEAR(A833),MONTH(A833),1)</f>
        <v>46235</v>
      </c>
    </row>
    <row r="834" customFormat="false" ht="15" hidden="false" customHeight="false" outlineLevel="0" collapsed="false">
      <c r="A834" s="34" t="n">
        <v>46259</v>
      </c>
      <c r="B834" s="28" t="s">
        <v>159</v>
      </c>
      <c r="C834" s="35" t="n">
        <v>21301</v>
      </c>
      <c r="D834" s="35" t="n">
        <v>302</v>
      </c>
      <c r="E834" s="35" t="n">
        <v>33</v>
      </c>
      <c r="F834" s="35" t="n">
        <v>7</v>
      </c>
      <c r="G834" s="35" t="n">
        <v>20390</v>
      </c>
      <c r="H834" s="35" t="n">
        <v>5631</v>
      </c>
      <c r="I834" s="28" t="str">
        <f aca="false">INDEX(Campaigns!$C$2:$C$31,MATCH(B834,Campaigns!$A$2:$A$31,0))</f>
        <v>Facebook &amp; Instagram Ads</v>
      </c>
      <c r="J834" s="40" t="n">
        <f aca="false">DATE(YEAR(A834),MONTH(A834),1)</f>
        <v>46235</v>
      </c>
    </row>
    <row r="835" customFormat="false" ht="15" hidden="false" customHeight="false" outlineLevel="0" collapsed="false">
      <c r="A835" s="34" t="n">
        <v>46259</v>
      </c>
      <c r="B835" s="28" t="s">
        <v>161</v>
      </c>
      <c r="C835" s="35" t="n">
        <v>39173</v>
      </c>
      <c r="D835" s="35" t="n">
        <v>525</v>
      </c>
      <c r="E835" s="35" t="n">
        <v>10</v>
      </c>
      <c r="F835" s="35" t="n">
        <v>3</v>
      </c>
      <c r="G835" s="35" t="n">
        <v>8750</v>
      </c>
      <c r="H835" s="35" t="n">
        <v>10814</v>
      </c>
      <c r="I835" s="28" t="str">
        <f aca="false">INDEX(Campaigns!$C$2:$C$31,MATCH(B835,Campaigns!$A$2:$A$31,0))</f>
        <v>Facebook &amp; Instagram Ads</v>
      </c>
      <c r="J835" s="40" t="n">
        <f aca="false">DATE(YEAR(A835),MONTH(A835),1)</f>
        <v>46235</v>
      </c>
    </row>
    <row r="836" customFormat="false" ht="15" hidden="false" customHeight="false" outlineLevel="0" collapsed="false">
      <c r="A836" s="34" t="n">
        <v>46259</v>
      </c>
      <c r="B836" s="28" t="s">
        <v>163</v>
      </c>
      <c r="C836" s="35" t="n">
        <v>1443</v>
      </c>
      <c r="D836" s="35" t="n">
        <v>59</v>
      </c>
      <c r="E836" s="35" t="n">
        <v>2</v>
      </c>
      <c r="F836" s="35" t="n">
        <v>0</v>
      </c>
      <c r="G836" s="35" t="n">
        <v>0</v>
      </c>
      <c r="H836" s="35" t="n">
        <v>464</v>
      </c>
      <c r="I836" s="28" t="str">
        <f aca="false">INDEX(Campaigns!$C$2:$C$31,MATCH(B836,Campaigns!$A$2:$A$31,0))</f>
        <v>Email</v>
      </c>
      <c r="J836" s="40" t="n">
        <f aca="false">DATE(YEAR(A836),MONTH(A836),1)</f>
        <v>46235</v>
      </c>
    </row>
    <row r="837" customFormat="false" ht="15" hidden="false" customHeight="false" outlineLevel="0" collapsed="false">
      <c r="A837" s="34" t="n">
        <v>46260</v>
      </c>
      <c r="B837" s="28" t="s">
        <v>105</v>
      </c>
      <c r="C837" s="35" t="n">
        <v>5657</v>
      </c>
      <c r="D837" s="35" t="n">
        <v>213</v>
      </c>
      <c r="E837" s="35" t="n">
        <v>12</v>
      </c>
      <c r="F837" s="35" t="n">
        <v>9</v>
      </c>
      <c r="G837" s="35" t="n">
        <v>31680</v>
      </c>
      <c r="H837" s="35" t="n">
        <v>5517</v>
      </c>
      <c r="I837" s="28" t="str">
        <f aca="false">INDEX(Campaigns!$C$2:$C$31,MATCH(B837,Campaigns!$A$2:$A$31,0))</f>
        <v>Google Search Ads</v>
      </c>
      <c r="J837" s="40" t="n">
        <f aca="false">DATE(YEAR(A837),MONTH(A837),1)</f>
        <v>46235</v>
      </c>
    </row>
    <row r="838" customFormat="false" ht="15" hidden="false" customHeight="false" outlineLevel="0" collapsed="false">
      <c r="A838" s="34" t="n">
        <v>46260</v>
      </c>
      <c r="B838" s="28" t="s">
        <v>108</v>
      </c>
      <c r="C838" s="35" t="n">
        <v>6295</v>
      </c>
      <c r="D838" s="35" t="n">
        <v>188</v>
      </c>
      <c r="E838" s="35" t="n">
        <v>9</v>
      </c>
      <c r="F838" s="35" t="n">
        <v>7</v>
      </c>
      <c r="G838" s="35" t="n">
        <v>18840</v>
      </c>
      <c r="H838" s="35" t="n">
        <v>2138</v>
      </c>
      <c r="I838" s="28" t="str">
        <f aca="false">INDEX(Campaigns!$C$2:$C$31,MATCH(B838,Campaigns!$A$2:$A$31,0))</f>
        <v>Email</v>
      </c>
      <c r="J838" s="40" t="n">
        <f aca="false">DATE(YEAR(A838),MONTH(A838),1)</f>
        <v>46235</v>
      </c>
    </row>
    <row r="839" customFormat="false" ht="15" hidden="false" customHeight="false" outlineLevel="0" collapsed="false">
      <c r="A839" s="34" t="n">
        <v>46260</v>
      </c>
      <c r="B839" s="28" t="s">
        <v>110</v>
      </c>
      <c r="C839" s="35" t="n">
        <v>13061</v>
      </c>
      <c r="D839" s="35" t="n">
        <v>123</v>
      </c>
      <c r="E839" s="35" t="n">
        <v>20</v>
      </c>
      <c r="F839" s="35" t="n">
        <v>4</v>
      </c>
      <c r="G839" s="35" t="n">
        <v>12900</v>
      </c>
      <c r="H839" s="35" t="n">
        <v>8695</v>
      </c>
      <c r="I839" s="28" t="str">
        <f aca="false">INDEX(Campaigns!$C$2:$C$31,MATCH(B839,Campaigns!$A$2:$A$31,0))</f>
        <v>Influencer Partnerships</v>
      </c>
      <c r="J839" s="40" t="n">
        <f aca="false">DATE(YEAR(A839),MONTH(A839),1)</f>
        <v>46235</v>
      </c>
    </row>
    <row r="840" customFormat="false" ht="15" hidden="false" customHeight="false" outlineLevel="0" collapsed="false">
      <c r="A840" s="34" t="n">
        <v>46260</v>
      </c>
      <c r="B840" s="28" t="s">
        <v>114</v>
      </c>
      <c r="C840" s="35" t="n">
        <v>852</v>
      </c>
      <c r="D840" s="35" t="n">
        <v>71</v>
      </c>
      <c r="E840" s="35" t="n">
        <v>1</v>
      </c>
      <c r="F840" s="35" t="n">
        <v>4</v>
      </c>
      <c r="G840" s="35" t="n">
        <v>10230</v>
      </c>
      <c r="H840" s="35" t="n">
        <v>1144</v>
      </c>
      <c r="I840" s="28" t="str">
        <f aca="false">INDEX(Campaigns!$C$2:$C$31,MATCH(B840,Campaigns!$A$2:$A$31,0))</f>
        <v>WhatsApp Broadcast</v>
      </c>
      <c r="J840" s="40" t="n">
        <f aca="false">DATE(YEAR(A840),MONTH(A840),1)</f>
        <v>46235</v>
      </c>
    </row>
    <row r="841" customFormat="false" ht="15" hidden="false" customHeight="false" outlineLevel="0" collapsed="false">
      <c r="A841" s="34" t="n">
        <v>46260</v>
      </c>
      <c r="B841" s="28" t="s">
        <v>116</v>
      </c>
      <c r="C841" s="35" t="n">
        <v>20833</v>
      </c>
      <c r="D841" s="35" t="n">
        <v>264</v>
      </c>
      <c r="E841" s="35" t="n">
        <v>9</v>
      </c>
      <c r="F841" s="35" t="n">
        <v>4</v>
      </c>
      <c r="G841" s="35" t="n">
        <v>11900</v>
      </c>
      <c r="H841" s="35" t="n">
        <v>5245</v>
      </c>
      <c r="I841" s="28" t="str">
        <f aca="false">INDEX(Campaigns!$C$2:$C$31,MATCH(B841,Campaigns!$A$2:$A$31,0))</f>
        <v>Facebook &amp; Instagram Ads</v>
      </c>
      <c r="J841" s="40" t="n">
        <f aca="false">DATE(YEAR(A841),MONTH(A841),1)</f>
        <v>46235</v>
      </c>
    </row>
    <row r="842" customFormat="false" ht="15" hidden="false" customHeight="false" outlineLevel="0" collapsed="false">
      <c r="A842" s="34" t="n">
        <v>46260</v>
      </c>
      <c r="B842" s="28" t="s">
        <v>118</v>
      </c>
      <c r="C842" s="35" t="n">
        <v>2705</v>
      </c>
      <c r="D842" s="35" t="n">
        <v>137</v>
      </c>
      <c r="E842" s="35" t="n">
        <v>7</v>
      </c>
      <c r="F842" s="35" t="n">
        <v>8</v>
      </c>
      <c r="G842" s="35" t="n">
        <v>31180</v>
      </c>
      <c r="H842" s="35" t="n">
        <v>2396</v>
      </c>
      <c r="I842" s="28" t="str">
        <f aca="false">INDEX(Campaigns!$C$2:$C$31,MATCH(B842,Campaigns!$A$2:$A$31,0))</f>
        <v>Google Search Ads</v>
      </c>
      <c r="J842" s="40" t="n">
        <f aca="false">DATE(YEAR(A842),MONTH(A842),1)</f>
        <v>46235</v>
      </c>
    </row>
    <row r="843" customFormat="false" ht="15" hidden="false" customHeight="false" outlineLevel="0" collapsed="false">
      <c r="A843" s="34" t="n">
        <v>46260</v>
      </c>
      <c r="B843" s="28" t="s">
        <v>124</v>
      </c>
      <c r="C843" s="35" t="n">
        <v>7462</v>
      </c>
      <c r="D843" s="35" t="n">
        <v>165</v>
      </c>
      <c r="E843" s="35" t="n">
        <v>6</v>
      </c>
      <c r="F843" s="35" t="n">
        <v>2</v>
      </c>
      <c r="G843" s="35" t="n">
        <v>5320</v>
      </c>
      <c r="H843" s="35" t="n">
        <v>2539</v>
      </c>
      <c r="I843" s="28" t="str">
        <f aca="false">INDEX(Campaigns!$C$2:$C$31,MATCH(B843,Campaigns!$A$2:$A$31,0))</f>
        <v>Email</v>
      </c>
      <c r="J843" s="40" t="n">
        <f aca="false">DATE(YEAR(A843),MONTH(A843),1)</f>
        <v>46235</v>
      </c>
    </row>
    <row r="844" customFormat="false" ht="15" hidden="false" customHeight="false" outlineLevel="0" collapsed="false">
      <c r="A844" s="34" t="n">
        <v>46260</v>
      </c>
      <c r="B844" s="28" t="s">
        <v>126</v>
      </c>
      <c r="C844" s="35" t="n">
        <v>16289</v>
      </c>
      <c r="D844" s="35" t="n">
        <v>109</v>
      </c>
      <c r="E844" s="35" t="n">
        <v>6</v>
      </c>
      <c r="F844" s="35" t="n">
        <v>1</v>
      </c>
      <c r="G844" s="35" t="n">
        <v>4090</v>
      </c>
      <c r="H844" s="35" t="n">
        <v>3041</v>
      </c>
      <c r="I844" s="28" t="str">
        <f aca="false">INDEX(Campaigns!$C$2:$C$31,MATCH(B844,Campaigns!$A$2:$A$31,0))</f>
        <v>TikTok Ads</v>
      </c>
      <c r="J844" s="40" t="n">
        <f aca="false">DATE(YEAR(A844),MONTH(A844),1)</f>
        <v>46235</v>
      </c>
    </row>
    <row r="845" customFormat="false" ht="15" hidden="false" customHeight="false" outlineLevel="0" collapsed="false">
      <c r="A845" s="34" t="n">
        <v>46260</v>
      </c>
      <c r="B845" s="28" t="s">
        <v>132</v>
      </c>
      <c r="C845" s="35" t="n">
        <v>33941</v>
      </c>
      <c r="D845" s="35" t="n">
        <v>478</v>
      </c>
      <c r="E845" s="35" t="n">
        <v>74</v>
      </c>
      <c r="F845" s="35" t="n">
        <v>8</v>
      </c>
      <c r="G845" s="35" t="n">
        <v>28810</v>
      </c>
      <c r="H845" s="35" t="n">
        <v>7928</v>
      </c>
      <c r="I845" s="28" t="str">
        <f aca="false">INDEX(Campaigns!$C$2:$C$31,MATCH(B845,Campaigns!$A$2:$A$31,0))</f>
        <v>Facebook &amp; Instagram Ads</v>
      </c>
      <c r="J845" s="40" t="n">
        <f aca="false">DATE(YEAR(A845),MONTH(A845),1)</f>
        <v>46235</v>
      </c>
    </row>
    <row r="846" customFormat="false" ht="15" hidden="false" customHeight="false" outlineLevel="0" collapsed="false">
      <c r="A846" s="34" t="n">
        <v>46260</v>
      </c>
      <c r="B846" s="28" t="s">
        <v>139</v>
      </c>
      <c r="C846" s="35" t="n">
        <v>15925</v>
      </c>
      <c r="D846" s="35" t="n">
        <v>171</v>
      </c>
      <c r="E846" s="35" t="n">
        <v>6</v>
      </c>
      <c r="F846" s="35" t="n">
        <v>3</v>
      </c>
      <c r="G846" s="35" t="n">
        <v>7110</v>
      </c>
      <c r="H846" s="35" t="n">
        <v>3004</v>
      </c>
      <c r="I846" s="28" t="str">
        <f aca="false">INDEX(Campaigns!$C$2:$C$31,MATCH(B846,Campaigns!$A$2:$A$31,0))</f>
        <v>TikTok Ads</v>
      </c>
      <c r="J846" s="40" t="n">
        <f aca="false">DATE(YEAR(A846),MONTH(A846),1)</f>
        <v>46235</v>
      </c>
    </row>
    <row r="847" customFormat="false" ht="15" hidden="false" customHeight="false" outlineLevel="0" collapsed="false">
      <c r="A847" s="34" t="n">
        <v>46260</v>
      </c>
      <c r="B847" s="28" t="s">
        <v>141</v>
      </c>
      <c r="C847" s="35" t="n">
        <v>6748</v>
      </c>
      <c r="D847" s="35" t="n">
        <v>220</v>
      </c>
      <c r="E847" s="35" t="n">
        <v>10</v>
      </c>
      <c r="F847" s="35" t="n">
        <v>5</v>
      </c>
      <c r="G847" s="35" t="n">
        <v>17510</v>
      </c>
      <c r="H847" s="35" t="n">
        <v>2420</v>
      </c>
      <c r="I847" s="28" t="str">
        <f aca="false">INDEX(Campaigns!$C$2:$C$31,MATCH(B847,Campaigns!$A$2:$A$31,0))</f>
        <v>Email</v>
      </c>
      <c r="J847" s="40" t="n">
        <f aca="false">DATE(YEAR(A847),MONTH(A847),1)</f>
        <v>46235</v>
      </c>
    </row>
    <row r="848" customFormat="false" ht="15" hidden="false" customHeight="false" outlineLevel="0" collapsed="false">
      <c r="A848" s="34" t="n">
        <v>46260</v>
      </c>
      <c r="B848" s="28" t="s">
        <v>145</v>
      </c>
      <c r="C848" s="35" t="n">
        <v>7626</v>
      </c>
      <c r="D848" s="35" t="n">
        <v>395</v>
      </c>
      <c r="E848" s="35" t="n">
        <v>20</v>
      </c>
      <c r="F848" s="35" t="n">
        <v>18</v>
      </c>
      <c r="G848" s="35" t="n">
        <v>63250</v>
      </c>
      <c r="H848" s="35" t="n">
        <v>6788</v>
      </c>
      <c r="I848" s="28" t="str">
        <f aca="false">INDEX(Campaigns!$C$2:$C$31,MATCH(B848,Campaigns!$A$2:$A$31,0))</f>
        <v>Google Search Ads</v>
      </c>
      <c r="J848" s="40" t="n">
        <f aca="false">DATE(YEAR(A848),MONTH(A848),1)</f>
        <v>46235</v>
      </c>
    </row>
    <row r="849" customFormat="false" ht="15" hidden="false" customHeight="false" outlineLevel="0" collapsed="false">
      <c r="A849" s="34" t="n">
        <v>46260</v>
      </c>
      <c r="B849" s="28" t="s">
        <v>147</v>
      </c>
      <c r="C849" s="35" t="n">
        <v>22305</v>
      </c>
      <c r="D849" s="35" t="n">
        <v>295</v>
      </c>
      <c r="E849" s="35" t="n">
        <v>7</v>
      </c>
      <c r="F849" s="35" t="n">
        <v>3</v>
      </c>
      <c r="G849" s="35" t="n">
        <v>6500</v>
      </c>
      <c r="H849" s="35" t="n">
        <v>5670</v>
      </c>
      <c r="I849" s="28" t="str">
        <f aca="false">INDEX(Campaigns!$C$2:$C$31,MATCH(B849,Campaigns!$A$2:$A$31,0))</f>
        <v>Facebook &amp; Instagram Ads</v>
      </c>
      <c r="J849" s="40" t="n">
        <f aca="false">DATE(YEAR(A849),MONTH(A849),1)</f>
        <v>46235</v>
      </c>
    </row>
    <row r="850" customFormat="false" ht="15" hidden="false" customHeight="false" outlineLevel="0" collapsed="false">
      <c r="A850" s="34" t="n">
        <v>46260</v>
      </c>
      <c r="B850" s="28" t="s">
        <v>152</v>
      </c>
      <c r="C850" s="35" t="n">
        <v>6049</v>
      </c>
      <c r="D850" s="35" t="n">
        <v>53</v>
      </c>
      <c r="E850" s="35" t="n">
        <v>2</v>
      </c>
      <c r="F850" s="35" t="n">
        <v>2</v>
      </c>
      <c r="G850" s="35" t="n">
        <v>7480</v>
      </c>
      <c r="H850" s="35" t="n">
        <v>3829</v>
      </c>
      <c r="I850" s="28" t="str">
        <f aca="false">INDEX(Campaigns!$C$2:$C$31,MATCH(B850,Campaigns!$A$2:$A$31,0))</f>
        <v>Influencer Partnerships</v>
      </c>
      <c r="J850" s="40" t="n">
        <f aca="false">DATE(YEAR(A850),MONTH(A850),1)</f>
        <v>46235</v>
      </c>
    </row>
    <row r="851" customFormat="false" ht="15" hidden="false" customHeight="false" outlineLevel="0" collapsed="false">
      <c r="A851" s="34" t="n">
        <v>46260</v>
      </c>
      <c r="B851" s="28" t="s">
        <v>154</v>
      </c>
      <c r="C851" s="35" t="n">
        <v>6924</v>
      </c>
      <c r="D851" s="35" t="n">
        <v>64</v>
      </c>
      <c r="E851" s="35" t="n">
        <v>2</v>
      </c>
      <c r="F851" s="35" t="n">
        <v>1</v>
      </c>
      <c r="G851" s="35" t="n">
        <v>3380</v>
      </c>
      <c r="H851" s="35" t="n">
        <v>3805</v>
      </c>
      <c r="I851" s="28" t="str">
        <f aca="false">INDEX(Campaigns!$C$2:$C$31,MATCH(B851,Campaigns!$A$2:$A$31,0))</f>
        <v>Influencer Partnerships</v>
      </c>
      <c r="J851" s="40" t="n">
        <f aca="false">DATE(YEAR(A851),MONTH(A851),1)</f>
        <v>46235</v>
      </c>
    </row>
    <row r="852" customFormat="false" ht="15" hidden="false" customHeight="false" outlineLevel="0" collapsed="false">
      <c r="A852" s="34" t="n">
        <v>46260</v>
      </c>
      <c r="B852" s="28" t="s">
        <v>156</v>
      </c>
      <c r="C852" s="35" t="n">
        <v>38785</v>
      </c>
      <c r="D852" s="35" t="n">
        <v>343</v>
      </c>
      <c r="E852" s="35" t="n">
        <v>47</v>
      </c>
      <c r="F852" s="35" t="n">
        <v>6</v>
      </c>
      <c r="G852" s="35" t="n">
        <v>19130</v>
      </c>
      <c r="H852" s="35" t="n">
        <v>6694</v>
      </c>
      <c r="I852" s="28" t="str">
        <f aca="false">INDEX(Campaigns!$C$2:$C$31,MATCH(B852,Campaigns!$A$2:$A$31,0))</f>
        <v>TikTok Ads</v>
      </c>
      <c r="J852" s="40" t="n">
        <f aca="false">DATE(YEAR(A852),MONTH(A852),1)</f>
        <v>46235</v>
      </c>
    </row>
    <row r="853" customFormat="false" ht="15" hidden="false" customHeight="false" outlineLevel="0" collapsed="false">
      <c r="A853" s="34" t="n">
        <v>46260</v>
      </c>
      <c r="B853" s="28" t="s">
        <v>158</v>
      </c>
      <c r="C853" s="35" t="n">
        <v>20078</v>
      </c>
      <c r="D853" s="35" t="n">
        <v>189</v>
      </c>
      <c r="E853" s="35" t="n">
        <v>26</v>
      </c>
      <c r="F853" s="35" t="n">
        <v>2</v>
      </c>
      <c r="G853" s="35" t="n">
        <v>7510</v>
      </c>
      <c r="H853" s="35" t="n">
        <v>12032</v>
      </c>
      <c r="I853" s="28" t="str">
        <f aca="false">INDEX(Campaigns!$C$2:$C$31,MATCH(B853,Campaigns!$A$2:$A$31,0))</f>
        <v>Influencer Partnerships</v>
      </c>
      <c r="J853" s="40" t="n">
        <f aca="false">DATE(YEAR(A853),MONTH(A853),1)</f>
        <v>46235</v>
      </c>
    </row>
    <row r="854" customFormat="false" ht="15" hidden="false" customHeight="false" outlineLevel="0" collapsed="false">
      <c r="A854" s="34" t="n">
        <v>46260</v>
      </c>
      <c r="B854" s="28" t="s">
        <v>161</v>
      </c>
      <c r="C854" s="35" t="n">
        <v>41602</v>
      </c>
      <c r="D854" s="35" t="n">
        <v>559</v>
      </c>
      <c r="E854" s="35" t="n">
        <v>7</v>
      </c>
      <c r="F854" s="35" t="n">
        <v>0</v>
      </c>
      <c r="G854" s="35" t="n">
        <v>0</v>
      </c>
      <c r="H854" s="35" t="n">
        <v>9643</v>
      </c>
      <c r="I854" s="28" t="str">
        <f aca="false">INDEX(Campaigns!$C$2:$C$31,MATCH(B854,Campaigns!$A$2:$A$31,0))</f>
        <v>Facebook &amp; Instagram Ads</v>
      </c>
      <c r="J854" s="40" t="n">
        <f aca="false">DATE(YEAR(A854),MONTH(A854),1)</f>
        <v>46235</v>
      </c>
    </row>
    <row r="855" customFormat="false" ht="15" hidden="false" customHeight="false" outlineLevel="0" collapsed="false">
      <c r="A855" s="34" t="n">
        <v>46261</v>
      </c>
      <c r="B855" s="28" t="s">
        <v>105</v>
      </c>
      <c r="C855" s="35" t="n">
        <v>5744</v>
      </c>
      <c r="D855" s="35" t="n">
        <v>222</v>
      </c>
      <c r="E855" s="35" t="n">
        <v>7</v>
      </c>
      <c r="F855" s="35" t="n">
        <v>6</v>
      </c>
      <c r="G855" s="35" t="n">
        <v>24580</v>
      </c>
      <c r="H855" s="35" t="n">
        <v>4973</v>
      </c>
      <c r="I855" s="28" t="str">
        <f aca="false">INDEX(Campaigns!$C$2:$C$31,MATCH(B855,Campaigns!$A$2:$A$31,0))</f>
        <v>Google Search Ads</v>
      </c>
      <c r="J855" s="40" t="n">
        <f aca="false">DATE(YEAR(A855),MONTH(A855),1)</f>
        <v>46235</v>
      </c>
    </row>
    <row r="856" customFormat="false" ht="15" hidden="false" customHeight="false" outlineLevel="0" collapsed="false">
      <c r="A856" s="34" t="n">
        <v>46261</v>
      </c>
      <c r="B856" s="28" t="s">
        <v>108</v>
      </c>
      <c r="C856" s="35" t="n">
        <v>6018</v>
      </c>
      <c r="D856" s="35" t="n">
        <v>172</v>
      </c>
      <c r="E856" s="35" t="n">
        <v>5</v>
      </c>
      <c r="F856" s="35" t="n">
        <v>3</v>
      </c>
      <c r="G856" s="35" t="n">
        <v>7770</v>
      </c>
      <c r="H856" s="35" t="n">
        <v>2298</v>
      </c>
      <c r="I856" s="28" t="str">
        <f aca="false">INDEX(Campaigns!$C$2:$C$31,MATCH(B856,Campaigns!$A$2:$A$31,0))</f>
        <v>Email</v>
      </c>
      <c r="J856" s="40" t="n">
        <f aca="false">DATE(YEAR(A856),MONTH(A856),1)</f>
        <v>46235</v>
      </c>
    </row>
    <row r="857" customFormat="false" ht="15" hidden="false" customHeight="false" outlineLevel="0" collapsed="false">
      <c r="A857" s="34" t="n">
        <v>46261</v>
      </c>
      <c r="B857" s="28" t="s">
        <v>110</v>
      </c>
      <c r="C857" s="35" t="n">
        <v>14861</v>
      </c>
      <c r="D857" s="35" t="n">
        <v>143</v>
      </c>
      <c r="E857" s="35" t="n">
        <v>18</v>
      </c>
      <c r="F857" s="35" t="n">
        <v>2</v>
      </c>
      <c r="G857" s="35" t="n">
        <v>5800</v>
      </c>
      <c r="H857" s="35" t="n">
        <v>8599</v>
      </c>
      <c r="I857" s="28" t="str">
        <f aca="false">INDEX(Campaigns!$C$2:$C$31,MATCH(B857,Campaigns!$A$2:$A$31,0))</f>
        <v>Influencer Partnerships</v>
      </c>
      <c r="J857" s="40" t="n">
        <f aca="false">DATE(YEAR(A857),MONTH(A857),1)</f>
        <v>46235</v>
      </c>
    </row>
    <row r="858" customFormat="false" ht="15" hidden="false" customHeight="false" outlineLevel="0" collapsed="false">
      <c r="A858" s="34" t="n">
        <v>46261</v>
      </c>
      <c r="B858" s="28" t="s">
        <v>114</v>
      </c>
      <c r="C858" s="35" t="n">
        <v>626</v>
      </c>
      <c r="D858" s="35" t="n">
        <v>34</v>
      </c>
      <c r="E858" s="35" t="n">
        <v>0</v>
      </c>
      <c r="F858" s="35" t="n">
        <v>1</v>
      </c>
      <c r="G858" s="35" t="n">
        <v>4090</v>
      </c>
      <c r="H858" s="35" t="n">
        <v>878</v>
      </c>
      <c r="I858" s="28" t="str">
        <f aca="false">INDEX(Campaigns!$C$2:$C$31,MATCH(B858,Campaigns!$A$2:$A$31,0))</f>
        <v>WhatsApp Broadcast</v>
      </c>
      <c r="J858" s="40" t="n">
        <f aca="false">DATE(YEAR(A858),MONTH(A858),1)</f>
        <v>46235</v>
      </c>
    </row>
    <row r="859" customFormat="false" ht="15" hidden="false" customHeight="false" outlineLevel="0" collapsed="false">
      <c r="A859" s="34" t="n">
        <v>46261</v>
      </c>
      <c r="B859" s="28" t="s">
        <v>116</v>
      </c>
      <c r="C859" s="35" t="n">
        <v>27709</v>
      </c>
      <c r="D859" s="35" t="n">
        <v>305</v>
      </c>
      <c r="E859" s="35" t="n">
        <v>13</v>
      </c>
      <c r="F859" s="35" t="n">
        <v>2</v>
      </c>
      <c r="G859" s="35" t="n">
        <v>5920</v>
      </c>
      <c r="H859" s="35" t="n">
        <v>6569</v>
      </c>
      <c r="I859" s="28" t="str">
        <f aca="false">INDEX(Campaigns!$C$2:$C$31,MATCH(B859,Campaigns!$A$2:$A$31,0))</f>
        <v>Facebook &amp; Instagram Ads</v>
      </c>
      <c r="J859" s="40" t="n">
        <f aca="false">DATE(YEAR(A859),MONTH(A859),1)</f>
        <v>46235</v>
      </c>
    </row>
    <row r="860" customFormat="false" ht="15" hidden="false" customHeight="false" outlineLevel="0" collapsed="false">
      <c r="A860" s="34" t="n">
        <v>46261</v>
      </c>
      <c r="B860" s="28" t="s">
        <v>118</v>
      </c>
      <c r="C860" s="35" t="n">
        <v>3306</v>
      </c>
      <c r="D860" s="35" t="n">
        <v>176</v>
      </c>
      <c r="E860" s="35" t="n">
        <v>4</v>
      </c>
      <c r="F860" s="35" t="n">
        <v>11</v>
      </c>
      <c r="G860" s="35" t="n">
        <v>36310</v>
      </c>
      <c r="H860" s="35" t="n">
        <v>2767</v>
      </c>
      <c r="I860" s="28" t="str">
        <f aca="false">INDEX(Campaigns!$C$2:$C$31,MATCH(B860,Campaigns!$A$2:$A$31,0))</f>
        <v>Google Search Ads</v>
      </c>
      <c r="J860" s="40" t="n">
        <f aca="false">DATE(YEAR(A860),MONTH(A860),1)</f>
        <v>46235</v>
      </c>
    </row>
    <row r="861" customFormat="false" ht="15" hidden="false" customHeight="false" outlineLevel="0" collapsed="false">
      <c r="A861" s="34" t="n">
        <v>46261</v>
      </c>
      <c r="B861" s="28" t="s">
        <v>124</v>
      </c>
      <c r="C861" s="35" t="n">
        <v>7675</v>
      </c>
      <c r="D861" s="35" t="n">
        <v>178</v>
      </c>
      <c r="E861" s="35" t="n">
        <v>8</v>
      </c>
      <c r="F861" s="35" t="n">
        <v>2</v>
      </c>
      <c r="G861" s="35" t="n">
        <v>4980</v>
      </c>
      <c r="H861" s="35" t="n">
        <v>2781</v>
      </c>
      <c r="I861" s="28" t="str">
        <f aca="false">INDEX(Campaigns!$C$2:$C$31,MATCH(B861,Campaigns!$A$2:$A$31,0))</f>
        <v>Email</v>
      </c>
      <c r="J861" s="40" t="n">
        <f aca="false">DATE(YEAR(A861),MONTH(A861),1)</f>
        <v>46235</v>
      </c>
    </row>
    <row r="862" customFormat="false" ht="15" hidden="false" customHeight="false" outlineLevel="0" collapsed="false">
      <c r="A862" s="34" t="n">
        <v>46261</v>
      </c>
      <c r="B862" s="28" t="s">
        <v>126</v>
      </c>
      <c r="C862" s="35" t="n">
        <v>18139</v>
      </c>
      <c r="D862" s="35" t="n">
        <v>114</v>
      </c>
      <c r="E862" s="35" t="n">
        <v>7</v>
      </c>
      <c r="F862" s="35" t="n">
        <v>0</v>
      </c>
      <c r="G862" s="35" t="n">
        <v>0</v>
      </c>
      <c r="H862" s="35" t="n">
        <v>3034</v>
      </c>
      <c r="I862" s="28" t="str">
        <f aca="false">INDEX(Campaigns!$C$2:$C$31,MATCH(B862,Campaigns!$A$2:$A$31,0))</f>
        <v>TikTok Ads</v>
      </c>
      <c r="J862" s="40" t="n">
        <f aca="false">DATE(YEAR(A862),MONTH(A862),1)</f>
        <v>46235</v>
      </c>
    </row>
    <row r="863" customFormat="false" ht="15" hidden="false" customHeight="false" outlineLevel="0" collapsed="false">
      <c r="A863" s="34" t="n">
        <v>46261</v>
      </c>
      <c r="B863" s="28" t="s">
        <v>130</v>
      </c>
      <c r="C863" s="35" t="n">
        <v>3104</v>
      </c>
      <c r="D863" s="35" t="n">
        <v>268</v>
      </c>
      <c r="E863" s="35" t="n">
        <v>10</v>
      </c>
      <c r="F863" s="35" t="n">
        <v>32</v>
      </c>
      <c r="G863" s="35" t="n">
        <v>89310</v>
      </c>
      <c r="H863" s="35" t="n">
        <v>4641</v>
      </c>
      <c r="I863" s="28" t="str">
        <f aca="false">INDEX(Campaigns!$C$2:$C$31,MATCH(B863,Campaigns!$A$2:$A$31,0))</f>
        <v>WhatsApp Broadcast</v>
      </c>
      <c r="J863" s="40" t="n">
        <f aca="false">DATE(YEAR(A863),MONTH(A863),1)</f>
        <v>46235</v>
      </c>
    </row>
    <row r="864" customFormat="false" ht="15" hidden="false" customHeight="false" outlineLevel="0" collapsed="false">
      <c r="A864" s="34" t="n">
        <v>46261</v>
      </c>
      <c r="B864" s="28" t="s">
        <v>132</v>
      </c>
      <c r="C864" s="35" t="n">
        <v>34672</v>
      </c>
      <c r="D864" s="35" t="n">
        <v>440</v>
      </c>
      <c r="E864" s="35" t="n">
        <v>63</v>
      </c>
      <c r="F864" s="35" t="n">
        <v>9</v>
      </c>
      <c r="G864" s="35" t="n">
        <v>29680</v>
      </c>
      <c r="H864" s="35" t="n">
        <v>8066</v>
      </c>
      <c r="I864" s="28" t="str">
        <f aca="false">INDEX(Campaigns!$C$2:$C$31,MATCH(B864,Campaigns!$A$2:$A$31,0))</f>
        <v>Facebook &amp; Instagram Ads</v>
      </c>
      <c r="J864" s="40" t="n">
        <f aca="false">DATE(YEAR(A864),MONTH(A864),1)</f>
        <v>46235</v>
      </c>
    </row>
    <row r="865" customFormat="false" ht="15" hidden="false" customHeight="false" outlineLevel="0" collapsed="false">
      <c r="A865" s="34" t="n">
        <v>46261</v>
      </c>
      <c r="B865" s="28" t="s">
        <v>139</v>
      </c>
      <c r="C865" s="35" t="n">
        <v>15005</v>
      </c>
      <c r="D865" s="35" t="n">
        <v>146</v>
      </c>
      <c r="E865" s="35" t="n">
        <v>4</v>
      </c>
      <c r="F865" s="35" t="n">
        <v>1</v>
      </c>
      <c r="G865" s="35" t="n">
        <v>2970</v>
      </c>
      <c r="H865" s="35" t="n">
        <v>2835</v>
      </c>
      <c r="I865" s="28" t="str">
        <f aca="false">INDEX(Campaigns!$C$2:$C$31,MATCH(B865,Campaigns!$A$2:$A$31,0))</f>
        <v>TikTok Ads</v>
      </c>
      <c r="J865" s="40" t="n">
        <f aca="false">DATE(YEAR(A865),MONTH(A865),1)</f>
        <v>46235</v>
      </c>
    </row>
    <row r="866" customFormat="false" ht="15" hidden="false" customHeight="false" outlineLevel="0" collapsed="false">
      <c r="A866" s="34" t="n">
        <v>46261</v>
      </c>
      <c r="B866" s="28" t="s">
        <v>141</v>
      </c>
      <c r="C866" s="35" t="n">
        <v>7582</v>
      </c>
      <c r="D866" s="35" t="n">
        <v>237</v>
      </c>
      <c r="E866" s="35" t="n">
        <v>12</v>
      </c>
      <c r="F866" s="35" t="n">
        <v>15</v>
      </c>
      <c r="G866" s="35" t="n">
        <v>49080</v>
      </c>
      <c r="H866" s="35" t="n">
        <v>2622</v>
      </c>
      <c r="I866" s="28" t="str">
        <f aca="false">INDEX(Campaigns!$C$2:$C$31,MATCH(B866,Campaigns!$A$2:$A$31,0))</f>
        <v>Email</v>
      </c>
      <c r="J866" s="40" t="n">
        <f aca="false">DATE(YEAR(A866),MONTH(A866),1)</f>
        <v>46235</v>
      </c>
    </row>
    <row r="867" customFormat="false" ht="15" hidden="false" customHeight="false" outlineLevel="0" collapsed="false">
      <c r="A867" s="34" t="n">
        <v>46261</v>
      </c>
      <c r="B867" s="28" t="s">
        <v>152</v>
      </c>
      <c r="C867" s="35" t="n">
        <v>6451</v>
      </c>
      <c r="D867" s="35" t="n">
        <v>59</v>
      </c>
      <c r="E867" s="35" t="n">
        <v>1</v>
      </c>
      <c r="F867" s="35" t="n">
        <v>1</v>
      </c>
      <c r="G867" s="35" t="n">
        <v>2730</v>
      </c>
      <c r="H867" s="35" t="n">
        <v>4096</v>
      </c>
      <c r="I867" s="28" t="str">
        <f aca="false">INDEX(Campaigns!$C$2:$C$31,MATCH(B867,Campaigns!$A$2:$A$31,0))</f>
        <v>Influencer Partnerships</v>
      </c>
      <c r="J867" s="40" t="n">
        <f aca="false">DATE(YEAR(A867),MONTH(A867),1)</f>
        <v>46235</v>
      </c>
    </row>
    <row r="868" customFormat="false" ht="15" hidden="false" customHeight="false" outlineLevel="0" collapsed="false">
      <c r="A868" s="34" t="n">
        <v>46261</v>
      </c>
      <c r="B868" s="28" t="s">
        <v>154</v>
      </c>
      <c r="C868" s="35" t="n">
        <v>5052</v>
      </c>
      <c r="D868" s="35" t="n">
        <v>49</v>
      </c>
      <c r="E868" s="35" t="n">
        <v>2</v>
      </c>
      <c r="F868" s="35" t="n">
        <v>0</v>
      </c>
      <c r="G868" s="35" t="n">
        <v>0</v>
      </c>
      <c r="H868" s="35" t="n">
        <v>3368</v>
      </c>
      <c r="I868" s="28" t="str">
        <f aca="false">INDEX(Campaigns!$C$2:$C$31,MATCH(B868,Campaigns!$A$2:$A$31,0))</f>
        <v>Influencer Partnerships</v>
      </c>
      <c r="J868" s="40" t="n">
        <f aca="false">DATE(YEAR(A868),MONTH(A868),1)</f>
        <v>46235</v>
      </c>
    </row>
    <row r="869" customFormat="false" ht="15" hidden="false" customHeight="false" outlineLevel="0" collapsed="false">
      <c r="A869" s="34" t="n">
        <v>46261</v>
      </c>
      <c r="B869" s="28" t="s">
        <v>156</v>
      </c>
      <c r="C869" s="35" t="n">
        <v>48310</v>
      </c>
      <c r="D869" s="35" t="n">
        <v>468</v>
      </c>
      <c r="E869" s="35" t="n">
        <v>56</v>
      </c>
      <c r="F869" s="35" t="n">
        <v>6</v>
      </c>
      <c r="G869" s="35" t="n">
        <v>15580</v>
      </c>
      <c r="H869" s="35" t="n">
        <v>8369</v>
      </c>
      <c r="I869" s="28" t="str">
        <f aca="false">INDEX(Campaigns!$C$2:$C$31,MATCH(B869,Campaigns!$A$2:$A$31,0))</f>
        <v>TikTok Ads</v>
      </c>
      <c r="J869" s="40" t="n">
        <f aca="false">DATE(YEAR(A869),MONTH(A869),1)</f>
        <v>46235</v>
      </c>
    </row>
    <row r="870" customFormat="false" ht="15" hidden="false" customHeight="false" outlineLevel="0" collapsed="false">
      <c r="A870" s="34" t="n">
        <v>46261</v>
      </c>
      <c r="B870" s="28" t="s">
        <v>158</v>
      </c>
      <c r="C870" s="35" t="n">
        <v>17385</v>
      </c>
      <c r="D870" s="35" t="n">
        <v>167</v>
      </c>
      <c r="E870" s="35" t="n">
        <v>23</v>
      </c>
      <c r="F870" s="35" t="n">
        <v>4</v>
      </c>
      <c r="G870" s="35" t="n">
        <v>13430</v>
      </c>
      <c r="H870" s="35" t="n">
        <v>11381</v>
      </c>
      <c r="I870" s="28" t="str">
        <f aca="false">INDEX(Campaigns!$C$2:$C$31,MATCH(B870,Campaigns!$A$2:$A$31,0))</f>
        <v>Influencer Partnerships</v>
      </c>
      <c r="J870" s="40" t="n">
        <f aca="false">DATE(YEAR(A870),MONTH(A870),1)</f>
        <v>46235</v>
      </c>
    </row>
    <row r="871" customFormat="false" ht="15" hidden="false" customHeight="false" outlineLevel="0" collapsed="false">
      <c r="A871" s="34" t="n">
        <v>46261</v>
      </c>
      <c r="B871" s="28" t="s">
        <v>159</v>
      </c>
      <c r="C871" s="35" t="n">
        <v>26830</v>
      </c>
      <c r="D871" s="35" t="n">
        <v>407</v>
      </c>
      <c r="E871" s="35" t="n">
        <v>62</v>
      </c>
      <c r="F871" s="35" t="n">
        <v>4</v>
      </c>
      <c r="G871" s="35" t="n">
        <v>16560</v>
      </c>
      <c r="H871" s="35" t="n">
        <v>7021</v>
      </c>
      <c r="I871" s="28" t="str">
        <f aca="false">INDEX(Campaigns!$C$2:$C$31,MATCH(B871,Campaigns!$A$2:$A$31,0))</f>
        <v>Facebook &amp; Instagram Ads</v>
      </c>
      <c r="J871" s="40" t="n">
        <f aca="false">DATE(YEAR(A871),MONTH(A871),1)</f>
        <v>46235</v>
      </c>
    </row>
    <row r="872" customFormat="false" ht="15" hidden="false" customHeight="false" outlineLevel="0" collapsed="false">
      <c r="A872" s="34" t="n">
        <v>46261</v>
      </c>
      <c r="B872" s="28" t="s">
        <v>161</v>
      </c>
      <c r="C872" s="35" t="n">
        <v>39165</v>
      </c>
      <c r="D872" s="35" t="n">
        <v>528</v>
      </c>
      <c r="E872" s="35" t="n">
        <v>12</v>
      </c>
      <c r="F872" s="35" t="n">
        <v>1</v>
      </c>
      <c r="G872" s="35" t="n">
        <v>5040</v>
      </c>
      <c r="H872" s="35" t="n">
        <v>10137</v>
      </c>
      <c r="I872" s="28" t="str">
        <f aca="false">INDEX(Campaigns!$C$2:$C$31,MATCH(B872,Campaigns!$A$2:$A$31,0))</f>
        <v>Facebook &amp; Instagram Ads</v>
      </c>
      <c r="J872" s="40" t="n">
        <f aca="false">DATE(YEAR(A872),MONTH(A872),1)</f>
        <v>46235</v>
      </c>
    </row>
    <row r="873" customFormat="false" ht="15" hidden="false" customHeight="false" outlineLevel="0" collapsed="false">
      <c r="A873" s="34" t="n">
        <v>46261</v>
      </c>
      <c r="B873" s="28" t="s">
        <v>163</v>
      </c>
      <c r="C873" s="35" t="n">
        <v>1607</v>
      </c>
      <c r="D873" s="35" t="n">
        <v>42</v>
      </c>
      <c r="E873" s="35" t="n">
        <v>2</v>
      </c>
      <c r="F873" s="35" t="n">
        <v>0</v>
      </c>
      <c r="G873" s="35" t="n">
        <v>0</v>
      </c>
      <c r="H873" s="35" t="n">
        <v>561</v>
      </c>
      <c r="I873" s="28" t="str">
        <f aca="false">INDEX(Campaigns!$C$2:$C$31,MATCH(B873,Campaigns!$A$2:$A$31,0))</f>
        <v>Email</v>
      </c>
      <c r="J873" s="40" t="n">
        <f aca="false">DATE(YEAR(A873),MONTH(A873),1)</f>
        <v>46235</v>
      </c>
    </row>
    <row r="874" customFormat="false" ht="15" hidden="false" customHeight="false" outlineLevel="0" collapsed="false">
      <c r="A874" s="34" t="n">
        <v>46262</v>
      </c>
      <c r="B874" s="28" t="s">
        <v>105</v>
      </c>
      <c r="C874" s="35" t="n">
        <v>7104</v>
      </c>
      <c r="D874" s="35" t="n">
        <v>247</v>
      </c>
      <c r="E874" s="35" t="n">
        <v>15</v>
      </c>
      <c r="F874" s="35" t="n">
        <v>3</v>
      </c>
      <c r="G874" s="35" t="n">
        <v>11210</v>
      </c>
      <c r="H874" s="35" t="n">
        <v>6106</v>
      </c>
      <c r="I874" s="28" t="str">
        <f aca="false">INDEX(Campaigns!$C$2:$C$31,MATCH(B874,Campaigns!$A$2:$A$31,0))</f>
        <v>Google Search Ads</v>
      </c>
      <c r="J874" s="40" t="n">
        <f aca="false">DATE(YEAR(A874),MONTH(A874),1)</f>
        <v>46235</v>
      </c>
    </row>
    <row r="875" customFormat="false" ht="15" hidden="false" customHeight="false" outlineLevel="0" collapsed="false">
      <c r="A875" s="34" t="n">
        <v>46262</v>
      </c>
      <c r="B875" s="28" t="s">
        <v>108</v>
      </c>
      <c r="C875" s="35" t="n">
        <v>6613</v>
      </c>
      <c r="D875" s="35" t="n">
        <v>222</v>
      </c>
      <c r="E875" s="35" t="n">
        <v>9</v>
      </c>
      <c r="F875" s="35" t="n">
        <v>7</v>
      </c>
      <c r="G875" s="35" t="n">
        <v>22230</v>
      </c>
      <c r="H875" s="35" t="n">
        <v>2487</v>
      </c>
      <c r="I875" s="28" t="str">
        <f aca="false">INDEX(Campaigns!$C$2:$C$31,MATCH(B875,Campaigns!$A$2:$A$31,0))</f>
        <v>Email</v>
      </c>
      <c r="J875" s="40" t="n">
        <f aca="false">DATE(YEAR(A875),MONTH(A875),1)</f>
        <v>46235</v>
      </c>
    </row>
    <row r="876" customFormat="false" ht="15" hidden="false" customHeight="false" outlineLevel="0" collapsed="false">
      <c r="A876" s="34" t="n">
        <v>46262</v>
      </c>
      <c r="B876" s="28" t="s">
        <v>110</v>
      </c>
      <c r="C876" s="35" t="n">
        <v>16048</v>
      </c>
      <c r="D876" s="35" t="n">
        <v>159</v>
      </c>
      <c r="E876" s="35" t="n">
        <v>22</v>
      </c>
      <c r="F876" s="35" t="n">
        <v>1</v>
      </c>
      <c r="G876" s="35" t="n">
        <v>4820</v>
      </c>
      <c r="H876" s="35" t="n">
        <v>9879</v>
      </c>
      <c r="I876" s="28" t="str">
        <f aca="false">INDEX(Campaigns!$C$2:$C$31,MATCH(B876,Campaigns!$A$2:$A$31,0))</f>
        <v>Influencer Partnerships</v>
      </c>
      <c r="J876" s="40" t="n">
        <f aca="false">DATE(YEAR(A876),MONTH(A876),1)</f>
        <v>46235</v>
      </c>
    </row>
    <row r="877" customFormat="false" ht="15" hidden="false" customHeight="false" outlineLevel="0" collapsed="false">
      <c r="A877" s="34" t="n">
        <v>46262</v>
      </c>
      <c r="B877" s="28" t="s">
        <v>114</v>
      </c>
      <c r="C877" s="35" t="n">
        <v>955</v>
      </c>
      <c r="D877" s="35" t="n">
        <v>63</v>
      </c>
      <c r="E877" s="35" t="n">
        <v>1</v>
      </c>
      <c r="F877" s="35" t="n">
        <v>6</v>
      </c>
      <c r="G877" s="35" t="n">
        <v>15270</v>
      </c>
      <c r="H877" s="35" t="n">
        <v>1231</v>
      </c>
      <c r="I877" s="28" t="str">
        <f aca="false">INDEX(Campaigns!$C$2:$C$31,MATCH(B877,Campaigns!$A$2:$A$31,0))</f>
        <v>WhatsApp Broadcast</v>
      </c>
      <c r="J877" s="40" t="n">
        <f aca="false">DATE(YEAR(A877),MONTH(A877),1)</f>
        <v>46235</v>
      </c>
    </row>
    <row r="878" customFormat="false" ht="15" hidden="false" customHeight="false" outlineLevel="0" collapsed="false">
      <c r="A878" s="34" t="n">
        <v>46262</v>
      </c>
      <c r="B878" s="28" t="s">
        <v>116</v>
      </c>
      <c r="C878" s="35" t="n">
        <v>24253</v>
      </c>
      <c r="D878" s="35" t="n">
        <v>288</v>
      </c>
      <c r="E878" s="35" t="n">
        <v>12</v>
      </c>
      <c r="F878" s="35" t="n">
        <v>3</v>
      </c>
      <c r="G878" s="35" t="n">
        <v>12220</v>
      </c>
      <c r="H878" s="35" t="n">
        <v>6515</v>
      </c>
      <c r="I878" s="28" t="str">
        <f aca="false">INDEX(Campaigns!$C$2:$C$31,MATCH(B878,Campaigns!$A$2:$A$31,0))</f>
        <v>Facebook &amp; Instagram Ads</v>
      </c>
      <c r="J878" s="40" t="n">
        <f aca="false">DATE(YEAR(A878),MONTH(A878),1)</f>
        <v>46235</v>
      </c>
    </row>
    <row r="879" customFormat="false" ht="15" hidden="false" customHeight="false" outlineLevel="0" collapsed="false">
      <c r="A879" s="34" t="n">
        <v>46262</v>
      </c>
      <c r="B879" s="28" t="s">
        <v>118</v>
      </c>
      <c r="C879" s="35" t="n">
        <v>2789</v>
      </c>
      <c r="D879" s="35" t="n">
        <v>146</v>
      </c>
      <c r="E879" s="35" t="n">
        <v>1</v>
      </c>
      <c r="F879" s="35" t="n">
        <v>7</v>
      </c>
      <c r="G879" s="35" t="n">
        <v>29110</v>
      </c>
      <c r="H879" s="35" t="n">
        <v>2532</v>
      </c>
      <c r="I879" s="28" t="str">
        <f aca="false">INDEX(Campaigns!$C$2:$C$31,MATCH(B879,Campaigns!$A$2:$A$31,0))</f>
        <v>Google Search Ads</v>
      </c>
      <c r="J879" s="40" t="n">
        <f aca="false">DATE(YEAR(A879),MONTH(A879),1)</f>
        <v>46235</v>
      </c>
    </row>
    <row r="880" customFormat="false" ht="15" hidden="false" customHeight="false" outlineLevel="0" collapsed="false">
      <c r="A880" s="34" t="n">
        <v>46262</v>
      </c>
      <c r="B880" s="28" t="s">
        <v>124</v>
      </c>
      <c r="C880" s="35" t="n">
        <v>7336</v>
      </c>
      <c r="D880" s="35" t="n">
        <v>154</v>
      </c>
      <c r="E880" s="35" t="n">
        <v>2</v>
      </c>
      <c r="F880" s="35" t="n">
        <v>5</v>
      </c>
      <c r="G880" s="35" t="n">
        <v>15310</v>
      </c>
      <c r="H880" s="35" t="n">
        <v>2417</v>
      </c>
      <c r="I880" s="28" t="str">
        <f aca="false">INDEX(Campaigns!$C$2:$C$31,MATCH(B880,Campaigns!$A$2:$A$31,0))</f>
        <v>Email</v>
      </c>
      <c r="J880" s="40" t="n">
        <f aca="false">DATE(YEAR(A880),MONTH(A880),1)</f>
        <v>46235</v>
      </c>
    </row>
    <row r="881" customFormat="false" ht="15" hidden="false" customHeight="false" outlineLevel="0" collapsed="false">
      <c r="A881" s="34" t="n">
        <v>46262</v>
      </c>
      <c r="B881" s="28" t="s">
        <v>126</v>
      </c>
      <c r="C881" s="35" t="n">
        <v>19387</v>
      </c>
      <c r="D881" s="35" t="n">
        <v>130</v>
      </c>
      <c r="E881" s="35" t="n">
        <v>3</v>
      </c>
      <c r="F881" s="35" t="n">
        <v>2</v>
      </c>
      <c r="G881" s="35" t="n">
        <v>6550</v>
      </c>
      <c r="H881" s="35" t="n">
        <v>3263</v>
      </c>
      <c r="I881" s="28" t="str">
        <f aca="false">INDEX(Campaigns!$C$2:$C$31,MATCH(B881,Campaigns!$A$2:$A$31,0))</f>
        <v>TikTok Ads</v>
      </c>
      <c r="J881" s="40" t="n">
        <f aca="false">DATE(YEAR(A881),MONTH(A881),1)</f>
        <v>46235</v>
      </c>
    </row>
    <row r="882" customFormat="false" ht="15" hidden="false" customHeight="false" outlineLevel="0" collapsed="false">
      <c r="A882" s="34" t="n">
        <v>46262</v>
      </c>
      <c r="B882" s="28" t="s">
        <v>130</v>
      </c>
      <c r="C882" s="35" t="n">
        <v>3535</v>
      </c>
      <c r="D882" s="35" t="n">
        <v>279</v>
      </c>
      <c r="E882" s="35" t="n">
        <v>12</v>
      </c>
      <c r="F882" s="35" t="n">
        <v>27</v>
      </c>
      <c r="G882" s="35" t="n">
        <v>75750</v>
      </c>
      <c r="H882" s="35" t="n">
        <v>5423</v>
      </c>
      <c r="I882" s="28" t="str">
        <f aca="false">INDEX(Campaigns!$C$2:$C$31,MATCH(B882,Campaigns!$A$2:$A$31,0))</f>
        <v>WhatsApp Broadcast</v>
      </c>
      <c r="J882" s="40" t="n">
        <f aca="false">DATE(YEAR(A882),MONTH(A882),1)</f>
        <v>46235</v>
      </c>
    </row>
    <row r="883" customFormat="false" ht="15" hidden="false" customHeight="false" outlineLevel="0" collapsed="false">
      <c r="A883" s="34" t="n">
        <v>46262</v>
      </c>
      <c r="B883" s="28" t="s">
        <v>132</v>
      </c>
      <c r="C883" s="35" t="n">
        <v>44053</v>
      </c>
      <c r="D883" s="35" t="n">
        <v>610</v>
      </c>
      <c r="E883" s="35" t="n">
        <v>102</v>
      </c>
      <c r="F883" s="35" t="n">
        <v>15</v>
      </c>
      <c r="G883" s="35" t="n">
        <v>50620</v>
      </c>
      <c r="H883" s="35" t="n">
        <v>10112</v>
      </c>
      <c r="I883" s="28" t="str">
        <f aca="false">INDEX(Campaigns!$C$2:$C$31,MATCH(B883,Campaigns!$A$2:$A$31,0))</f>
        <v>Facebook &amp; Instagram Ads</v>
      </c>
      <c r="J883" s="40" t="n">
        <f aca="false">DATE(YEAR(A883),MONTH(A883),1)</f>
        <v>46235</v>
      </c>
    </row>
    <row r="884" customFormat="false" ht="15" hidden="false" customHeight="false" outlineLevel="0" collapsed="false">
      <c r="A884" s="34" t="n">
        <v>46262</v>
      </c>
      <c r="B884" s="28" t="s">
        <v>139</v>
      </c>
      <c r="C884" s="35" t="n">
        <v>19677</v>
      </c>
      <c r="D884" s="35" t="n">
        <v>209</v>
      </c>
      <c r="E884" s="35" t="n">
        <v>8</v>
      </c>
      <c r="F884" s="35" t="n">
        <v>5</v>
      </c>
      <c r="G884" s="35" t="n">
        <v>12460</v>
      </c>
      <c r="H884" s="35" t="n">
        <v>3586</v>
      </c>
      <c r="I884" s="28" t="str">
        <f aca="false">INDEX(Campaigns!$C$2:$C$31,MATCH(B884,Campaigns!$A$2:$A$31,0))</f>
        <v>TikTok Ads</v>
      </c>
      <c r="J884" s="40" t="n">
        <f aca="false">DATE(YEAR(A884),MONTH(A884),1)</f>
        <v>46235</v>
      </c>
    </row>
    <row r="885" customFormat="false" ht="15" hidden="false" customHeight="false" outlineLevel="0" collapsed="false">
      <c r="A885" s="34" t="n">
        <v>46262</v>
      </c>
      <c r="B885" s="28" t="s">
        <v>141</v>
      </c>
      <c r="C885" s="35" t="n">
        <v>9345</v>
      </c>
      <c r="D885" s="35" t="n">
        <v>315</v>
      </c>
      <c r="E885" s="35" t="n">
        <v>10</v>
      </c>
      <c r="F885" s="35" t="n">
        <v>13</v>
      </c>
      <c r="G885" s="35" t="n">
        <v>43410</v>
      </c>
      <c r="H885" s="35" t="n">
        <v>3036</v>
      </c>
      <c r="I885" s="28" t="str">
        <f aca="false">INDEX(Campaigns!$C$2:$C$31,MATCH(B885,Campaigns!$A$2:$A$31,0))</f>
        <v>Email</v>
      </c>
      <c r="J885" s="40" t="n">
        <f aca="false">DATE(YEAR(A885),MONTH(A885),1)</f>
        <v>46235</v>
      </c>
    </row>
    <row r="886" customFormat="false" ht="15" hidden="false" customHeight="false" outlineLevel="0" collapsed="false">
      <c r="A886" s="34" t="n">
        <v>46262</v>
      </c>
      <c r="B886" s="28" t="s">
        <v>145</v>
      </c>
      <c r="C886" s="35" t="n">
        <v>7957</v>
      </c>
      <c r="D886" s="35" t="n">
        <v>394</v>
      </c>
      <c r="E886" s="35" t="n">
        <v>22</v>
      </c>
      <c r="F886" s="35" t="n">
        <v>18</v>
      </c>
      <c r="G886" s="35" t="n">
        <v>66140</v>
      </c>
      <c r="H886" s="35" t="n">
        <v>7176</v>
      </c>
      <c r="I886" s="28" t="str">
        <f aca="false">INDEX(Campaigns!$C$2:$C$31,MATCH(B886,Campaigns!$A$2:$A$31,0))</f>
        <v>Google Search Ads</v>
      </c>
      <c r="J886" s="40" t="n">
        <f aca="false">DATE(YEAR(A886),MONTH(A886),1)</f>
        <v>46235</v>
      </c>
    </row>
    <row r="887" customFormat="false" ht="15" hidden="false" customHeight="false" outlineLevel="0" collapsed="false">
      <c r="A887" s="34" t="n">
        <v>46262</v>
      </c>
      <c r="B887" s="28" t="s">
        <v>147</v>
      </c>
      <c r="C887" s="35" t="n">
        <v>27058</v>
      </c>
      <c r="D887" s="35" t="n">
        <v>384</v>
      </c>
      <c r="E887" s="35" t="n">
        <v>12</v>
      </c>
      <c r="F887" s="35" t="n">
        <v>0</v>
      </c>
      <c r="G887" s="35" t="n">
        <v>0</v>
      </c>
      <c r="H887" s="35" t="n">
        <v>6604</v>
      </c>
      <c r="I887" s="28" t="str">
        <f aca="false">INDEX(Campaigns!$C$2:$C$31,MATCH(B887,Campaigns!$A$2:$A$31,0))</f>
        <v>Facebook &amp; Instagram Ads</v>
      </c>
      <c r="J887" s="40" t="n">
        <f aca="false">DATE(YEAR(A887),MONTH(A887),1)</f>
        <v>46235</v>
      </c>
    </row>
    <row r="888" customFormat="false" ht="15" hidden="false" customHeight="false" outlineLevel="0" collapsed="false">
      <c r="A888" s="34" t="n">
        <v>46262</v>
      </c>
      <c r="B888" s="28" t="s">
        <v>152</v>
      </c>
      <c r="C888" s="35" t="n">
        <v>7779</v>
      </c>
      <c r="D888" s="35" t="n">
        <v>67</v>
      </c>
      <c r="E888" s="35" t="n">
        <v>2</v>
      </c>
      <c r="F888" s="35" t="n">
        <v>0</v>
      </c>
      <c r="G888" s="35" t="n">
        <v>0</v>
      </c>
      <c r="H888" s="35" t="n">
        <v>4647</v>
      </c>
      <c r="I888" s="28" t="str">
        <f aca="false">INDEX(Campaigns!$C$2:$C$31,MATCH(B888,Campaigns!$A$2:$A$31,0))</f>
        <v>Influencer Partnerships</v>
      </c>
      <c r="J888" s="40" t="n">
        <f aca="false">DATE(YEAR(A888),MONTH(A888),1)</f>
        <v>46235</v>
      </c>
    </row>
    <row r="889" customFormat="false" ht="15" hidden="false" customHeight="false" outlineLevel="0" collapsed="false">
      <c r="A889" s="34" t="n">
        <v>46262</v>
      </c>
      <c r="B889" s="28" t="s">
        <v>154</v>
      </c>
      <c r="C889" s="35" t="n">
        <v>5480</v>
      </c>
      <c r="D889" s="35" t="n">
        <v>63</v>
      </c>
      <c r="E889" s="35" t="n">
        <v>5</v>
      </c>
      <c r="F889" s="35" t="n">
        <v>1</v>
      </c>
      <c r="G889" s="35" t="n">
        <v>2170</v>
      </c>
      <c r="H889" s="35" t="n">
        <v>3488</v>
      </c>
      <c r="I889" s="28" t="str">
        <f aca="false">INDEX(Campaigns!$C$2:$C$31,MATCH(B889,Campaigns!$A$2:$A$31,0))</f>
        <v>Influencer Partnerships</v>
      </c>
      <c r="J889" s="40" t="n">
        <f aca="false">DATE(YEAR(A889),MONTH(A889),1)</f>
        <v>46235</v>
      </c>
    </row>
    <row r="890" customFormat="false" ht="15" hidden="false" customHeight="false" outlineLevel="0" collapsed="false">
      <c r="A890" s="34" t="n">
        <v>46262</v>
      </c>
      <c r="B890" s="28" t="s">
        <v>156</v>
      </c>
      <c r="C890" s="35" t="n">
        <v>47597</v>
      </c>
      <c r="D890" s="35" t="n">
        <v>433</v>
      </c>
      <c r="E890" s="35" t="n">
        <v>54</v>
      </c>
      <c r="F890" s="35" t="n">
        <v>6</v>
      </c>
      <c r="G890" s="35" t="n">
        <v>16010</v>
      </c>
      <c r="H890" s="35" t="n">
        <v>9041</v>
      </c>
      <c r="I890" s="28" t="str">
        <f aca="false">INDEX(Campaigns!$C$2:$C$31,MATCH(B890,Campaigns!$A$2:$A$31,0))</f>
        <v>TikTok Ads</v>
      </c>
      <c r="J890" s="40" t="n">
        <f aca="false">DATE(YEAR(A890),MONTH(A890),1)</f>
        <v>46235</v>
      </c>
    </row>
    <row r="891" customFormat="false" ht="15" hidden="false" customHeight="false" outlineLevel="0" collapsed="false">
      <c r="A891" s="34" t="n">
        <v>46262</v>
      </c>
      <c r="B891" s="28" t="s">
        <v>159</v>
      </c>
      <c r="C891" s="35" t="n">
        <v>34895</v>
      </c>
      <c r="D891" s="35" t="n">
        <v>549</v>
      </c>
      <c r="E891" s="35" t="n">
        <v>78</v>
      </c>
      <c r="F891" s="35" t="n">
        <v>11</v>
      </c>
      <c r="G891" s="35" t="n">
        <v>36440</v>
      </c>
      <c r="H891" s="35" t="n">
        <v>7976</v>
      </c>
      <c r="I891" s="28" t="str">
        <f aca="false">INDEX(Campaigns!$C$2:$C$31,MATCH(B891,Campaigns!$A$2:$A$31,0))</f>
        <v>Facebook &amp; Instagram Ads</v>
      </c>
      <c r="J891" s="40" t="n">
        <f aca="false">DATE(YEAR(A891),MONTH(A891),1)</f>
        <v>46235</v>
      </c>
    </row>
    <row r="892" customFormat="false" ht="15" hidden="false" customHeight="false" outlineLevel="0" collapsed="false">
      <c r="A892" s="34" t="n">
        <v>46262</v>
      </c>
      <c r="B892" s="28" t="s">
        <v>161</v>
      </c>
      <c r="C892" s="35" t="n">
        <v>38833</v>
      </c>
      <c r="D892" s="35" t="n">
        <v>503</v>
      </c>
      <c r="E892" s="35" t="n">
        <v>8</v>
      </c>
      <c r="F892" s="35" t="n">
        <v>1</v>
      </c>
      <c r="G892" s="35" t="n">
        <v>5200</v>
      </c>
      <c r="H892" s="35" t="n">
        <v>10546</v>
      </c>
      <c r="I892" s="28" t="str">
        <f aca="false">INDEX(Campaigns!$C$2:$C$31,MATCH(B892,Campaigns!$A$2:$A$31,0))</f>
        <v>Facebook &amp; Instagram Ads</v>
      </c>
      <c r="J892" s="40" t="n">
        <f aca="false">DATE(YEAR(A892),MONTH(A892),1)</f>
        <v>46235</v>
      </c>
    </row>
    <row r="893" customFormat="false" ht="15" hidden="false" customHeight="false" outlineLevel="0" collapsed="false">
      <c r="A893" s="34" t="n">
        <v>46262</v>
      </c>
      <c r="B893" s="28" t="s">
        <v>163</v>
      </c>
      <c r="C893" s="35" t="n">
        <v>1878</v>
      </c>
      <c r="D893" s="35" t="n">
        <v>62</v>
      </c>
      <c r="E893" s="35" t="n">
        <v>5</v>
      </c>
      <c r="F893" s="35" t="n">
        <v>3</v>
      </c>
      <c r="G893" s="35" t="n">
        <v>8890</v>
      </c>
      <c r="H893" s="35" t="n">
        <v>616</v>
      </c>
      <c r="I893" s="28" t="str">
        <f aca="false">INDEX(Campaigns!$C$2:$C$31,MATCH(B893,Campaigns!$A$2:$A$31,0))</f>
        <v>Email</v>
      </c>
      <c r="J893" s="40" t="n">
        <f aca="false">DATE(YEAR(A893),MONTH(A893),1)</f>
        <v>46235</v>
      </c>
    </row>
    <row r="894" customFormat="false" ht="15" hidden="false" customHeight="false" outlineLevel="0" collapsed="false">
      <c r="A894" s="34" t="n">
        <v>46263</v>
      </c>
      <c r="B894" s="28" t="s">
        <v>105</v>
      </c>
      <c r="C894" s="35" t="n">
        <v>6410</v>
      </c>
      <c r="D894" s="35" t="n">
        <v>250</v>
      </c>
      <c r="E894" s="35" t="n">
        <v>10</v>
      </c>
      <c r="F894" s="35" t="n">
        <v>4</v>
      </c>
      <c r="G894" s="35" t="n">
        <v>14070</v>
      </c>
      <c r="H894" s="35" t="n">
        <v>5287</v>
      </c>
      <c r="I894" s="28" t="str">
        <f aca="false">INDEX(Campaigns!$C$2:$C$31,MATCH(B894,Campaigns!$A$2:$A$31,0))</f>
        <v>Google Search Ads</v>
      </c>
      <c r="J894" s="40" t="n">
        <f aca="false">DATE(YEAR(A894),MONTH(A894),1)</f>
        <v>46235</v>
      </c>
    </row>
    <row r="895" customFormat="false" ht="15" hidden="false" customHeight="false" outlineLevel="0" collapsed="false">
      <c r="A895" s="34" t="n">
        <v>46263</v>
      </c>
      <c r="B895" s="28" t="s">
        <v>108</v>
      </c>
      <c r="C895" s="35" t="n">
        <v>8320</v>
      </c>
      <c r="D895" s="35" t="n">
        <v>260</v>
      </c>
      <c r="E895" s="35" t="n">
        <v>13</v>
      </c>
      <c r="F895" s="35" t="n">
        <v>14</v>
      </c>
      <c r="G895" s="35" t="n">
        <v>43290</v>
      </c>
      <c r="H895" s="35" t="n">
        <v>2983</v>
      </c>
      <c r="I895" s="28" t="str">
        <f aca="false">INDEX(Campaigns!$C$2:$C$31,MATCH(B895,Campaigns!$A$2:$A$31,0))</f>
        <v>Email</v>
      </c>
      <c r="J895" s="40" t="n">
        <f aca="false">DATE(YEAR(A895),MONTH(A895),1)</f>
        <v>46235</v>
      </c>
    </row>
    <row r="896" customFormat="false" ht="15" hidden="false" customHeight="false" outlineLevel="0" collapsed="false">
      <c r="A896" s="34" t="n">
        <v>46263</v>
      </c>
      <c r="B896" s="28" t="s">
        <v>110</v>
      </c>
      <c r="C896" s="35" t="n">
        <v>15509</v>
      </c>
      <c r="D896" s="35" t="n">
        <v>150</v>
      </c>
      <c r="E896" s="35" t="n">
        <v>17</v>
      </c>
      <c r="F896" s="35" t="n">
        <v>5</v>
      </c>
      <c r="G896" s="35" t="n">
        <v>16320</v>
      </c>
      <c r="H896" s="35" t="n">
        <v>9111</v>
      </c>
      <c r="I896" s="28" t="str">
        <f aca="false">INDEX(Campaigns!$C$2:$C$31,MATCH(B896,Campaigns!$A$2:$A$31,0))</f>
        <v>Influencer Partnerships</v>
      </c>
      <c r="J896" s="40" t="n">
        <f aca="false">DATE(YEAR(A896),MONTH(A896),1)</f>
        <v>46235</v>
      </c>
    </row>
    <row r="897" customFormat="false" ht="15" hidden="false" customHeight="false" outlineLevel="0" collapsed="false">
      <c r="A897" s="34" t="n">
        <v>46263</v>
      </c>
      <c r="B897" s="28" t="s">
        <v>114</v>
      </c>
      <c r="C897" s="35" t="n">
        <v>741</v>
      </c>
      <c r="D897" s="35" t="n">
        <v>40</v>
      </c>
      <c r="E897" s="35" t="n">
        <v>1</v>
      </c>
      <c r="F897" s="35" t="n">
        <v>1</v>
      </c>
      <c r="G897" s="35" t="n">
        <v>3040</v>
      </c>
      <c r="H897" s="35" t="n">
        <v>1065</v>
      </c>
      <c r="I897" s="28" t="str">
        <f aca="false">INDEX(Campaigns!$C$2:$C$31,MATCH(B897,Campaigns!$A$2:$A$31,0))</f>
        <v>WhatsApp Broadcast</v>
      </c>
      <c r="J897" s="40" t="n">
        <f aca="false">DATE(YEAR(A897),MONTH(A897),1)</f>
        <v>46235</v>
      </c>
    </row>
    <row r="898" customFormat="false" ht="15" hidden="false" customHeight="false" outlineLevel="0" collapsed="false">
      <c r="A898" s="34" t="n">
        <v>46263</v>
      </c>
      <c r="B898" s="28" t="s">
        <v>116</v>
      </c>
      <c r="C898" s="35" t="n">
        <v>26782</v>
      </c>
      <c r="D898" s="35" t="n">
        <v>304</v>
      </c>
      <c r="E898" s="35" t="n">
        <v>14</v>
      </c>
      <c r="F898" s="35" t="n">
        <v>7</v>
      </c>
      <c r="G898" s="35" t="n">
        <v>22580</v>
      </c>
      <c r="H898" s="35" t="n">
        <v>7062</v>
      </c>
      <c r="I898" s="28" t="str">
        <f aca="false">INDEX(Campaigns!$C$2:$C$31,MATCH(B898,Campaigns!$A$2:$A$31,0))</f>
        <v>Facebook &amp; Instagram Ads</v>
      </c>
      <c r="J898" s="40" t="n">
        <f aca="false">DATE(YEAR(A898),MONTH(A898),1)</f>
        <v>46235</v>
      </c>
    </row>
    <row r="899" customFormat="false" ht="15" hidden="false" customHeight="false" outlineLevel="0" collapsed="false">
      <c r="A899" s="34" t="n">
        <v>46263</v>
      </c>
      <c r="B899" s="28" t="s">
        <v>118</v>
      </c>
      <c r="C899" s="35" t="n">
        <v>3641</v>
      </c>
      <c r="D899" s="35" t="n">
        <v>180</v>
      </c>
      <c r="E899" s="35" t="n">
        <v>6</v>
      </c>
      <c r="F899" s="35" t="n">
        <v>11</v>
      </c>
      <c r="G899" s="35" t="n">
        <v>43940</v>
      </c>
      <c r="H899" s="35" t="n">
        <v>3103</v>
      </c>
      <c r="I899" s="28" t="str">
        <f aca="false">INDEX(Campaigns!$C$2:$C$31,MATCH(B899,Campaigns!$A$2:$A$31,0))</f>
        <v>Google Search Ads</v>
      </c>
      <c r="J899" s="40" t="n">
        <f aca="false">DATE(YEAR(A899),MONTH(A899),1)</f>
        <v>46235</v>
      </c>
    </row>
    <row r="900" customFormat="false" ht="15" hidden="false" customHeight="false" outlineLevel="0" collapsed="false">
      <c r="A900" s="34" t="n">
        <v>46263</v>
      </c>
      <c r="B900" s="28" t="s">
        <v>124</v>
      </c>
      <c r="C900" s="35" t="n">
        <v>9135</v>
      </c>
      <c r="D900" s="35" t="n">
        <v>209</v>
      </c>
      <c r="E900" s="35" t="n">
        <v>7</v>
      </c>
      <c r="F900" s="35" t="n">
        <v>3</v>
      </c>
      <c r="G900" s="35" t="n">
        <v>9870</v>
      </c>
      <c r="H900" s="35" t="n">
        <v>2926</v>
      </c>
      <c r="I900" s="28" t="str">
        <f aca="false">INDEX(Campaigns!$C$2:$C$31,MATCH(B900,Campaigns!$A$2:$A$31,0))</f>
        <v>Email</v>
      </c>
      <c r="J900" s="40" t="n">
        <f aca="false">DATE(YEAR(A900),MONTH(A900),1)</f>
        <v>46235</v>
      </c>
    </row>
    <row r="901" customFormat="false" ht="15" hidden="false" customHeight="false" outlineLevel="0" collapsed="false">
      <c r="A901" s="34" t="n">
        <v>46263</v>
      </c>
      <c r="B901" s="28" t="s">
        <v>126</v>
      </c>
      <c r="C901" s="35" t="n">
        <v>19054</v>
      </c>
      <c r="D901" s="35" t="n">
        <v>103</v>
      </c>
      <c r="E901" s="35" t="n">
        <v>3</v>
      </c>
      <c r="F901" s="35" t="n">
        <v>2</v>
      </c>
      <c r="G901" s="35" t="n">
        <v>4290</v>
      </c>
      <c r="H901" s="35" t="n">
        <v>3136</v>
      </c>
      <c r="I901" s="28" t="str">
        <f aca="false">INDEX(Campaigns!$C$2:$C$31,MATCH(B901,Campaigns!$A$2:$A$31,0))</f>
        <v>TikTok Ads</v>
      </c>
      <c r="J901" s="40" t="n">
        <f aca="false">DATE(YEAR(A901),MONTH(A901),1)</f>
        <v>46235</v>
      </c>
    </row>
    <row r="902" customFormat="false" ht="15" hidden="false" customHeight="false" outlineLevel="0" collapsed="false">
      <c r="A902" s="34" t="n">
        <v>46263</v>
      </c>
      <c r="B902" s="28" t="s">
        <v>130</v>
      </c>
      <c r="C902" s="35" t="n">
        <v>3287</v>
      </c>
      <c r="D902" s="35" t="n">
        <v>294</v>
      </c>
      <c r="E902" s="35" t="n">
        <v>18</v>
      </c>
      <c r="F902" s="35" t="n">
        <v>31</v>
      </c>
      <c r="G902" s="35" t="n">
        <v>93890</v>
      </c>
      <c r="H902" s="35" t="n">
        <v>5013</v>
      </c>
      <c r="I902" s="28" t="str">
        <f aca="false">INDEX(Campaigns!$C$2:$C$31,MATCH(B902,Campaigns!$A$2:$A$31,0))</f>
        <v>WhatsApp Broadcast</v>
      </c>
      <c r="J902" s="40" t="n">
        <f aca="false">DATE(YEAR(A902),MONTH(A902),1)</f>
        <v>46235</v>
      </c>
    </row>
    <row r="903" customFormat="false" ht="15" hidden="false" customHeight="false" outlineLevel="0" collapsed="false">
      <c r="A903" s="34" t="n">
        <v>46263</v>
      </c>
      <c r="B903" s="28" t="s">
        <v>132</v>
      </c>
      <c r="C903" s="35" t="n">
        <v>40746</v>
      </c>
      <c r="D903" s="35" t="n">
        <v>516</v>
      </c>
      <c r="E903" s="35" t="n">
        <v>71</v>
      </c>
      <c r="F903" s="35" t="n">
        <v>10</v>
      </c>
      <c r="G903" s="35" t="n">
        <v>32850</v>
      </c>
      <c r="H903" s="35" t="n">
        <v>9867</v>
      </c>
      <c r="I903" s="28" t="str">
        <f aca="false">INDEX(Campaigns!$C$2:$C$31,MATCH(B903,Campaigns!$A$2:$A$31,0))</f>
        <v>Facebook &amp; Instagram Ads</v>
      </c>
      <c r="J903" s="40" t="n">
        <f aca="false">DATE(YEAR(A903),MONTH(A903),1)</f>
        <v>46235</v>
      </c>
    </row>
    <row r="904" customFormat="false" ht="15" hidden="false" customHeight="false" outlineLevel="0" collapsed="false">
      <c r="A904" s="34" t="n">
        <v>46263</v>
      </c>
      <c r="B904" s="28" t="s">
        <v>139</v>
      </c>
      <c r="C904" s="35" t="n">
        <v>16020</v>
      </c>
      <c r="D904" s="35" t="n">
        <v>149</v>
      </c>
      <c r="E904" s="35" t="n">
        <v>4</v>
      </c>
      <c r="F904" s="35" t="n">
        <v>2</v>
      </c>
      <c r="G904" s="35" t="n">
        <v>5070</v>
      </c>
      <c r="H904" s="35" t="n">
        <v>3103</v>
      </c>
      <c r="I904" s="28" t="str">
        <f aca="false">INDEX(Campaigns!$C$2:$C$31,MATCH(B904,Campaigns!$A$2:$A$31,0))</f>
        <v>TikTok Ads</v>
      </c>
      <c r="J904" s="40" t="n">
        <f aca="false">DATE(YEAR(A904),MONTH(A904),1)</f>
        <v>46235</v>
      </c>
    </row>
    <row r="905" customFormat="false" ht="15" hidden="false" customHeight="false" outlineLevel="0" collapsed="false">
      <c r="A905" s="34" t="n">
        <v>46263</v>
      </c>
      <c r="B905" s="28" t="s">
        <v>141</v>
      </c>
      <c r="C905" s="35" t="n">
        <v>8263</v>
      </c>
      <c r="D905" s="35" t="n">
        <v>283</v>
      </c>
      <c r="E905" s="35" t="n">
        <v>12</v>
      </c>
      <c r="F905" s="35" t="n">
        <v>13</v>
      </c>
      <c r="G905" s="35" t="n">
        <v>41280</v>
      </c>
      <c r="H905" s="35" t="n">
        <v>2788</v>
      </c>
      <c r="I905" s="28" t="str">
        <f aca="false">INDEX(Campaigns!$C$2:$C$31,MATCH(B905,Campaigns!$A$2:$A$31,0))</f>
        <v>Email</v>
      </c>
      <c r="J905" s="40" t="n">
        <f aca="false">DATE(YEAR(A905),MONTH(A905),1)</f>
        <v>46235</v>
      </c>
    </row>
    <row r="906" customFormat="false" ht="15" hidden="false" customHeight="false" outlineLevel="0" collapsed="false">
      <c r="A906" s="34" t="n">
        <v>46263</v>
      </c>
      <c r="B906" s="28" t="s">
        <v>145</v>
      </c>
      <c r="C906" s="35" t="n">
        <v>9468</v>
      </c>
      <c r="D906" s="35" t="n">
        <v>486</v>
      </c>
      <c r="E906" s="35" t="n">
        <v>14</v>
      </c>
      <c r="F906" s="35" t="n">
        <v>26</v>
      </c>
      <c r="G906" s="35" t="n">
        <v>89240</v>
      </c>
      <c r="H906" s="35" t="n">
        <v>8013</v>
      </c>
      <c r="I906" s="28" t="str">
        <f aca="false">INDEX(Campaigns!$C$2:$C$31,MATCH(B906,Campaigns!$A$2:$A$31,0))</f>
        <v>Google Search Ads</v>
      </c>
      <c r="J906" s="40" t="n">
        <f aca="false">DATE(YEAR(A906),MONTH(A906),1)</f>
        <v>46235</v>
      </c>
    </row>
    <row r="907" customFormat="false" ht="15" hidden="false" customHeight="false" outlineLevel="0" collapsed="false">
      <c r="A907" s="34" t="n">
        <v>46263</v>
      </c>
      <c r="B907" s="28" t="s">
        <v>147</v>
      </c>
      <c r="C907" s="35" t="n">
        <v>28664</v>
      </c>
      <c r="D907" s="35" t="n">
        <v>378</v>
      </c>
      <c r="E907" s="35" t="n">
        <v>5</v>
      </c>
      <c r="F907" s="35" t="n">
        <v>0</v>
      </c>
      <c r="G907" s="35" t="n">
        <v>0</v>
      </c>
      <c r="H907" s="35" t="n">
        <v>7556</v>
      </c>
      <c r="I907" s="28" t="str">
        <f aca="false">INDEX(Campaigns!$C$2:$C$31,MATCH(B907,Campaigns!$A$2:$A$31,0))</f>
        <v>Facebook &amp; Instagram Ads</v>
      </c>
      <c r="J907" s="40" t="n">
        <f aca="false">DATE(YEAR(A907),MONTH(A907),1)</f>
        <v>46235</v>
      </c>
    </row>
    <row r="908" customFormat="false" ht="15" hidden="false" customHeight="false" outlineLevel="0" collapsed="false">
      <c r="A908" s="34" t="n">
        <v>46263</v>
      </c>
      <c r="B908" s="28" t="s">
        <v>152</v>
      </c>
      <c r="C908" s="35" t="n">
        <v>7080</v>
      </c>
      <c r="D908" s="35" t="n">
        <v>68</v>
      </c>
      <c r="E908" s="35" t="n">
        <v>4</v>
      </c>
      <c r="F908" s="35" t="n">
        <v>2</v>
      </c>
      <c r="G908" s="35" t="n">
        <v>7970</v>
      </c>
      <c r="H908" s="35" t="n">
        <v>4311</v>
      </c>
      <c r="I908" s="28" t="str">
        <f aca="false">INDEX(Campaigns!$C$2:$C$31,MATCH(B908,Campaigns!$A$2:$A$31,0))</f>
        <v>Influencer Partnerships</v>
      </c>
      <c r="J908" s="40" t="n">
        <f aca="false">DATE(YEAR(A908),MONTH(A908),1)</f>
        <v>46235</v>
      </c>
    </row>
    <row r="909" customFormat="false" ht="15" hidden="false" customHeight="false" outlineLevel="0" collapsed="false">
      <c r="A909" s="34" t="n">
        <v>46263</v>
      </c>
      <c r="B909" s="28" t="s">
        <v>154</v>
      </c>
      <c r="C909" s="35" t="n">
        <v>7755</v>
      </c>
      <c r="D909" s="35" t="n">
        <v>66</v>
      </c>
      <c r="E909" s="35" t="n">
        <v>2</v>
      </c>
      <c r="F909" s="35" t="n">
        <v>0</v>
      </c>
      <c r="G909" s="35" t="n">
        <v>0</v>
      </c>
      <c r="H909" s="35" t="n">
        <v>4355</v>
      </c>
      <c r="I909" s="28" t="str">
        <f aca="false">INDEX(Campaigns!$C$2:$C$31,MATCH(B909,Campaigns!$A$2:$A$31,0))</f>
        <v>Influencer Partnerships</v>
      </c>
      <c r="J909" s="40" t="n">
        <f aca="false">DATE(YEAR(A909),MONTH(A909),1)</f>
        <v>46235</v>
      </c>
    </row>
    <row r="910" customFormat="false" ht="15" hidden="false" customHeight="false" outlineLevel="0" collapsed="false">
      <c r="A910" s="34" t="n">
        <v>46263</v>
      </c>
      <c r="B910" s="28" t="s">
        <v>158</v>
      </c>
      <c r="C910" s="35" t="n">
        <v>18480</v>
      </c>
      <c r="D910" s="35" t="n">
        <v>201</v>
      </c>
      <c r="E910" s="35" t="n">
        <v>26</v>
      </c>
      <c r="F910" s="35" t="n">
        <v>3</v>
      </c>
      <c r="G910" s="35" t="n">
        <v>10670</v>
      </c>
      <c r="H910" s="35" t="n">
        <v>11529</v>
      </c>
      <c r="I910" s="28" t="str">
        <f aca="false">INDEX(Campaigns!$C$2:$C$31,MATCH(B910,Campaigns!$A$2:$A$31,0))</f>
        <v>Influencer Partnerships</v>
      </c>
      <c r="J910" s="40" t="n">
        <f aca="false">DATE(YEAR(A910),MONTH(A910),1)</f>
        <v>46235</v>
      </c>
    </row>
    <row r="911" customFormat="false" ht="15" hidden="false" customHeight="false" outlineLevel="0" collapsed="false">
      <c r="A911" s="34" t="n">
        <v>46263</v>
      </c>
      <c r="B911" s="28" t="s">
        <v>159</v>
      </c>
      <c r="C911" s="35" t="n">
        <v>30718</v>
      </c>
      <c r="D911" s="35" t="n">
        <v>467</v>
      </c>
      <c r="E911" s="35" t="n">
        <v>83</v>
      </c>
      <c r="F911" s="35" t="n">
        <v>7</v>
      </c>
      <c r="G911" s="35" t="n">
        <v>20720</v>
      </c>
      <c r="H911" s="35" t="n">
        <v>7431</v>
      </c>
      <c r="I911" s="28" t="str">
        <f aca="false">INDEX(Campaigns!$C$2:$C$31,MATCH(B911,Campaigns!$A$2:$A$31,0))</f>
        <v>Facebook &amp; Instagram Ads</v>
      </c>
      <c r="J911" s="40" t="n">
        <f aca="false">DATE(YEAR(A911),MONTH(A911),1)</f>
        <v>46235</v>
      </c>
    </row>
    <row r="912" customFormat="false" ht="15" hidden="false" customHeight="false" outlineLevel="0" collapsed="false">
      <c r="A912" s="34" t="n">
        <v>46263</v>
      </c>
      <c r="B912" s="28" t="s">
        <v>161</v>
      </c>
      <c r="C912" s="35" t="n">
        <v>49532</v>
      </c>
      <c r="D912" s="35" t="n">
        <v>659</v>
      </c>
      <c r="E912" s="35" t="n">
        <v>18</v>
      </c>
      <c r="F912" s="35" t="n">
        <v>1</v>
      </c>
      <c r="G912" s="35" t="n">
        <v>2610</v>
      </c>
      <c r="H912" s="35" t="n">
        <v>11571</v>
      </c>
      <c r="I912" s="28" t="str">
        <f aca="false">INDEX(Campaigns!$C$2:$C$31,MATCH(B912,Campaigns!$A$2:$A$31,0))</f>
        <v>Facebook &amp; Instagram Ads</v>
      </c>
      <c r="J912" s="40" t="n">
        <f aca="false">DATE(YEAR(A912),MONTH(A912),1)</f>
        <v>46235</v>
      </c>
    </row>
    <row r="913" customFormat="false" ht="15" hidden="false" customHeight="false" outlineLevel="0" collapsed="false">
      <c r="A913" s="34" t="n">
        <v>46263</v>
      </c>
      <c r="B913" s="28" t="s">
        <v>163</v>
      </c>
      <c r="C913" s="35" t="n">
        <v>1730</v>
      </c>
      <c r="D913" s="35" t="n">
        <v>37</v>
      </c>
      <c r="E913" s="35" t="n">
        <v>1</v>
      </c>
      <c r="F913" s="35" t="n">
        <v>0</v>
      </c>
      <c r="G913" s="35" t="n">
        <v>0</v>
      </c>
      <c r="H913" s="35" t="n">
        <v>591</v>
      </c>
      <c r="I913" s="28" t="str">
        <f aca="false">INDEX(Campaigns!$C$2:$C$31,MATCH(B913,Campaigns!$A$2:$A$31,0))</f>
        <v>Email</v>
      </c>
      <c r="J913" s="40" t="n">
        <f aca="false">DATE(YEAR(A913),MONTH(A913),1)</f>
        <v>46235</v>
      </c>
    </row>
    <row r="914" customFormat="false" ht="15" hidden="false" customHeight="false" outlineLevel="0" collapsed="false">
      <c r="A914" s="34" t="n">
        <v>46264</v>
      </c>
      <c r="B914" s="28" t="s">
        <v>105</v>
      </c>
      <c r="C914" s="35" t="n">
        <v>6577</v>
      </c>
      <c r="D914" s="35" t="n">
        <v>266</v>
      </c>
      <c r="E914" s="35" t="n">
        <v>9</v>
      </c>
      <c r="F914" s="35" t="n">
        <v>7</v>
      </c>
      <c r="G914" s="35" t="n">
        <v>24940</v>
      </c>
      <c r="H914" s="35" t="n">
        <v>6108</v>
      </c>
      <c r="I914" s="28" t="str">
        <f aca="false">INDEX(Campaigns!$C$2:$C$31,MATCH(B914,Campaigns!$A$2:$A$31,0))</f>
        <v>Google Search Ads</v>
      </c>
      <c r="J914" s="40" t="n">
        <f aca="false">DATE(YEAR(A914),MONTH(A914),1)</f>
        <v>46235</v>
      </c>
    </row>
    <row r="915" customFormat="false" ht="15" hidden="false" customHeight="false" outlineLevel="0" collapsed="false">
      <c r="A915" s="34" t="n">
        <v>46264</v>
      </c>
      <c r="B915" s="28" t="s">
        <v>108</v>
      </c>
      <c r="C915" s="35" t="n">
        <v>7821</v>
      </c>
      <c r="D915" s="35" t="n">
        <v>255</v>
      </c>
      <c r="E915" s="35" t="n">
        <v>12</v>
      </c>
      <c r="F915" s="35" t="n">
        <v>13</v>
      </c>
      <c r="G915" s="35" t="n">
        <v>39780</v>
      </c>
      <c r="H915" s="35" t="n">
        <v>2528</v>
      </c>
      <c r="I915" s="28" t="str">
        <f aca="false">INDEX(Campaigns!$C$2:$C$31,MATCH(B915,Campaigns!$A$2:$A$31,0))</f>
        <v>Email</v>
      </c>
      <c r="J915" s="40" t="n">
        <f aca="false">DATE(YEAR(A915),MONTH(A915),1)</f>
        <v>46235</v>
      </c>
    </row>
    <row r="916" customFormat="false" ht="15" hidden="false" customHeight="false" outlineLevel="0" collapsed="false">
      <c r="A916" s="34" t="n">
        <v>46264</v>
      </c>
      <c r="B916" s="28" t="s">
        <v>110</v>
      </c>
      <c r="C916" s="35" t="n">
        <v>16212</v>
      </c>
      <c r="D916" s="35" t="n">
        <v>123</v>
      </c>
      <c r="E916" s="35" t="n">
        <v>14</v>
      </c>
      <c r="F916" s="35" t="n">
        <v>1</v>
      </c>
      <c r="G916" s="35" t="n">
        <v>4480</v>
      </c>
      <c r="H916" s="35" t="n">
        <v>10571</v>
      </c>
      <c r="I916" s="28" t="str">
        <f aca="false">INDEX(Campaigns!$C$2:$C$31,MATCH(B916,Campaigns!$A$2:$A$31,0))</f>
        <v>Influencer Partnerships</v>
      </c>
      <c r="J916" s="40" t="n">
        <f aca="false">DATE(YEAR(A916),MONTH(A916),1)</f>
        <v>46235</v>
      </c>
    </row>
    <row r="917" customFormat="false" ht="15" hidden="false" customHeight="false" outlineLevel="0" collapsed="false">
      <c r="A917" s="34" t="n">
        <v>46264</v>
      </c>
      <c r="B917" s="28" t="s">
        <v>114</v>
      </c>
      <c r="C917" s="35" t="n">
        <v>774</v>
      </c>
      <c r="D917" s="35" t="n">
        <v>47</v>
      </c>
      <c r="E917" s="35" t="n">
        <v>1</v>
      </c>
      <c r="F917" s="35" t="n">
        <v>3</v>
      </c>
      <c r="G917" s="35" t="n">
        <v>10560</v>
      </c>
      <c r="H917" s="35" t="n">
        <v>1205</v>
      </c>
      <c r="I917" s="28" t="str">
        <f aca="false">INDEX(Campaigns!$C$2:$C$31,MATCH(B917,Campaigns!$A$2:$A$31,0))</f>
        <v>WhatsApp Broadcast</v>
      </c>
      <c r="J917" s="40" t="n">
        <f aca="false">DATE(YEAR(A917),MONTH(A917),1)</f>
        <v>46235</v>
      </c>
    </row>
    <row r="918" customFormat="false" ht="15" hidden="false" customHeight="false" outlineLevel="0" collapsed="false">
      <c r="A918" s="34" t="n">
        <v>46264</v>
      </c>
      <c r="B918" s="28" t="s">
        <v>116</v>
      </c>
      <c r="C918" s="35" t="n">
        <v>26815</v>
      </c>
      <c r="D918" s="35" t="n">
        <v>319</v>
      </c>
      <c r="E918" s="35" t="n">
        <v>7</v>
      </c>
      <c r="F918" s="35" t="n">
        <v>6</v>
      </c>
      <c r="G918" s="35" t="n">
        <v>22920</v>
      </c>
      <c r="H918" s="35" t="n">
        <v>6549</v>
      </c>
      <c r="I918" s="28" t="str">
        <f aca="false">INDEX(Campaigns!$C$2:$C$31,MATCH(B918,Campaigns!$A$2:$A$31,0))</f>
        <v>Facebook &amp; Instagram Ads</v>
      </c>
      <c r="J918" s="40" t="n">
        <f aca="false">DATE(YEAR(A918),MONTH(A918),1)</f>
        <v>46235</v>
      </c>
    </row>
    <row r="919" customFormat="false" ht="15" hidden="false" customHeight="false" outlineLevel="0" collapsed="false">
      <c r="A919" s="34" t="n">
        <v>46264</v>
      </c>
      <c r="B919" s="28" t="s">
        <v>118</v>
      </c>
      <c r="C919" s="35" t="n">
        <v>3020</v>
      </c>
      <c r="D919" s="35" t="n">
        <v>162</v>
      </c>
      <c r="E919" s="35" t="n">
        <v>2</v>
      </c>
      <c r="F919" s="35" t="n">
        <v>9</v>
      </c>
      <c r="G919" s="35" t="n">
        <v>32510</v>
      </c>
      <c r="H919" s="35" t="n">
        <v>2820</v>
      </c>
      <c r="I919" s="28" t="str">
        <f aca="false">INDEX(Campaigns!$C$2:$C$31,MATCH(B919,Campaigns!$A$2:$A$31,0))</f>
        <v>Google Search Ads</v>
      </c>
      <c r="J919" s="40" t="n">
        <f aca="false">DATE(YEAR(A919),MONTH(A919),1)</f>
        <v>46235</v>
      </c>
    </row>
    <row r="920" customFormat="false" ht="15" hidden="false" customHeight="false" outlineLevel="0" collapsed="false">
      <c r="A920" s="34" t="n">
        <v>46264</v>
      </c>
      <c r="B920" s="28" t="s">
        <v>124</v>
      </c>
      <c r="C920" s="35" t="n">
        <v>8969</v>
      </c>
      <c r="D920" s="35" t="n">
        <v>183</v>
      </c>
      <c r="E920" s="35" t="n">
        <v>5</v>
      </c>
      <c r="F920" s="35" t="n">
        <v>6</v>
      </c>
      <c r="G920" s="35" t="n">
        <v>17130</v>
      </c>
      <c r="H920" s="35" t="n">
        <v>3109</v>
      </c>
      <c r="I920" s="28" t="str">
        <f aca="false">INDEX(Campaigns!$C$2:$C$31,MATCH(B920,Campaigns!$A$2:$A$31,0))</f>
        <v>Email</v>
      </c>
      <c r="J920" s="40" t="n">
        <f aca="false">DATE(YEAR(A920),MONTH(A920),1)</f>
        <v>46235</v>
      </c>
    </row>
    <row r="921" customFormat="false" ht="15" hidden="false" customHeight="false" outlineLevel="0" collapsed="false">
      <c r="A921" s="34" t="n">
        <v>46264</v>
      </c>
      <c r="B921" s="28" t="s">
        <v>126</v>
      </c>
      <c r="C921" s="35" t="n">
        <v>16242</v>
      </c>
      <c r="D921" s="35" t="n">
        <v>117</v>
      </c>
      <c r="E921" s="35" t="n">
        <v>2</v>
      </c>
      <c r="F921" s="35" t="n">
        <v>2</v>
      </c>
      <c r="G921" s="35" t="n">
        <v>5680</v>
      </c>
      <c r="H921" s="35" t="n">
        <v>2800</v>
      </c>
      <c r="I921" s="28" t="str">
        <f aca="false">INDEX(Campaigns!$C$2:$C$31,MATCH(B921,Campaigns!$A$2:$A$31,0))</f>
        <v>TikTok Ads</v>
      </c>
      <c r="J921" s="40" t="n">
        <f aca="false">DATE(YEAR(A921),MONTH(A921),1)</f>
        <v>46235</v>
      </c>
    </row>
    <row r="922" customFormat="false" ht="15" hidden="false" customHeight="false" outlineLevel="0" collapsed="false">
      <c r="A922" s="34" t="n">
        <v>46264</v>
      </c>
      <c r="B922" s="28" t="s">
        <v>130</v>
      </c>
      <c r="C922" s="35" t="n">
        <v>2877</v>
      </c>
      <c r="D922" s="35" t="n">
        <v>241</v>
      </c>
      <c r="E922" s="35" t="n">
        <v>7</v>
      </c>
      <c r="F922" s="35" t="n">
        <v>30</v>
      </c>
      <c r="G922" s="35" t="n">
        <v>82930</v>
      </c>
      <c r="H922" s="35" t="n">
        <v>4458</v>
      </c>
      <c r="I922" s="28" t="str">
        <f aca="false">INDEX(Campaigns!$C$2:$C$31,MATCH(B922,Campaigns!$A$2:$A$31,0))</f>
        <v>WhatsApp Broadcast</v>
      </c>
      <c r="J922" s="40" t="n">
        <f aca="false">DATE(YEAR(A922),MONTH(A922),1)</f>
        <v>46235</v>
      </c>
    </row>
    <row r="923" customFormat="false" ht="15" hidden="false" customHeight="false" outlineLevel="0" collapsed="false">
      <c r="A923" s="34" t="n">
        <v>46264</v>
      </c>
      <c r="B923" s="28" t="s">
        <v>132</v>
      </c>
      <c r="C923" s="35" t="n">
        <v>39262</v>
      </c>
      <c r="D923" s="35" t="n">
        <v>486</v>
      </c>
      <c r="E923" s="35" t="n">
        <v>58</v>
      </c>
      <c r="F923" s="35" t="n">
        <v>4</v>
      </c>
      <c r="G923" s="35" t="n">
        <v>13030</v>
      </c>
      <c r="H923" s="35" t="n">
        <v>10304</v>
      </c>
      <c r="I923" s="28" t="str">
        <f aca="false">INDEX(Campaigns!$C$2:$C$31,MATCH(B923,Campaigns!$A$2:$A$31,0))</f>
        <v>Facebook &amp; Instagram Ads</v>
      </c>
      <c r="J923" s="40" t="n">
        <f aca="false">DATE(YEAR(A923),MONTH(A923),1)</f>
        <v>46235</v>
      </c>
    </row>
    <row r="924" customFormat="false" ht="15" hidden="false" customHeight="false" outlineLevel="0" collapsed="false">
      <c r="A924" s="34" t="n">
        <v>46264</v>
      </c>
      <c r="B924" s="28" t="s">
        <v>138</v>
      </c>
      <c r="C924" s="35" t="n">
        <v>3785</v>
      </c>
      <c r="D924" s="35" t="n">
        <v>166</v>
      </c>
      <c r="E924" s="35" t="n">
        <v>5</v>
      </c>
      <c r="F924" s="35" t="n">
        <v>5</v>
      </c>
      <c r="G924" s="35" t="n">
        <v>14630</v>
      </c>
      <c r="H924" s="35" t="n">
        <v>5697</v>
      </c>
      <c r="I924" s="28" t="str">
        <f aca="false">INDEX(Campaigns!$C$2:$C$31,MATCH(B924,Campaigns!$A$2:$A$31,0))</f>
        <v>WhatsApp Broadcast</v>
      </c>
      <c r="J924" s="40" t="n">
        <f aca="false">DATE(YEAR(A924),MONTH(A924),1)</f>
        <v>46235</v>
      </c>
    </row>
    <row r="925" customFormat="false" ht="15" hidden="false" customHeight="false" outlineLevel="0" collapsed="false">
      <c r="A925" s="34" t="n">
        <v>46264</v>
      </c>
      <c r="B925" s="28" t="s">
        <v>139</v>
      </c>
      <c r="C925" s="35" t="n">
        <v>19135</v>
      </c>
      <c r="D925" s="35" t="n">
        <v>192</v>
      </c>
      <c r="E925" s="35" t="n">
        <v>6</v>
      </c>
      <c r="F925" s="35" t="n">
        <v>3</v>
      </c>
      <c r="G925" s="35" t="n">
        <v>8520</v>
      </c>
      <c r="H925" s="35" t="n">
        <v>3280</v>
      </c>
      <c r="I925" s="28" t="str">
        <f aca="false">INDEX(Campaigns!$C$2:$C$31,MATCH(B925,Campaigns!$A$2:$A$31,0))</f>
        <v>TikTok Ads</v>
      </c>
      <c r="J925" s="40" t="n">
        <f aca="false">DATE(YEAR(A925),MONTH(A925),1)</f>
        <v>46235</v>
      </c>
    </row>
    <row r="926" customFormat="false" ht="15" hidden="false" customHeight="false" outlineLevel="0" collapsed="false">
      <c r="A926" s="34" t="n">
        <v>46264</v>
      </c>
      <c r="B926" s="28" t="s">
        <v>141</v>
      </c>
      <c r="C926" s="35" t="n">
        <v>7648</v>
      </c>
      <c r="D926" s="35" t="n">
        <v>253</v>
      </c>
      <c r="E926" s="35" t="n">
        <v>14</v>
      </c>
      <c r="F926" s="35" t="n">
        <v>10</v>
      </c>
      <c r="G926" s="35" t="n">
        <v>31670</v>
      </c>
      <c r="H926" s="35" t="n">
        <v>2586</v>
      </c>
      <c r="I926" s="28" t="str">
        <f aca="false">INDEX(Campaigns!$C$2:$C$31,MATCH(B926,Campaigns!$A$2:$A$31,0))</f>
        <v>Email</v>
      </c>
      <c r="J926" s="40" t="n">
        <f aca="false">DATE(YEAR(A926),MONTH(A926),1)</f>
        <v>46235</v>
      </c>
    </row>
    <row r="927" customFormat="false" ht="15" hidden="false" customHeight="false" outlineLevel="0" collapsed="false">
      <c r="A927" s="34" t="n">
        <v>46264</v>
      </c>
      <c r="B927" s="28" t="s">
        <v>152</v>
      </c>
      <c r="C927" s="35" t="n">
        <v>8139</v>
      </c>
      <c r="D927" s="35" t="n">
        <v>80</v>
      </c>
      <c r="E927" s="35" t="n">
        <v>2</v>
      </c>
      <c r="F927" s="35" t="n">
        <v>0</v>
      </c>
      <c r="G927" s="35" t="n">
        <v>0</v>
      </c>
      <c r="H927" s="35" t="n">
        <v>5019</v>
      </c>
      <c r="I927" s="28" t="str">
        <f aca="false">INDEX(Campaigns!$C$2:$C$31,MATCH(B927,Campaigns!$A$2:$A$31,0))</f>
        <v>Influencer Partnerships</v>
      </c>
      <c r="J927" s="40" t="n">
        <f aca="false">DATE(YEAR(A927),MONTH(A927),1)</f>
        <v>46235</v>
      </c>
    </row>
    <row r="928" customFormat="false" ht="15" hidden="false" customHeight="false" outlineLevel="0" collapsed="false">
      <c r="A928" s="34" t="n">
        <v>46264</v>
      </c>
      <c r="B928" s="28" t="s">
        <v>154</v>
      </c>
      <c r="C928" s="35" t="n">
        <v>6929</v>
      </c>
      <c r="D928" s="35" t="n">
        <v>60</v>
      </c>
      <c r="E928" s="35" t="n">
        <v>2</v>
      </c>
      <c r="F928" s="35" t="n">
        <v>1</v>
      </c>
      <c r="G928" s="35" t="n">
        <v>3360</v>
      </c>
      <c r="H928" s="35" t="n">
        <v>3841</v>
      </c>
      <c r="I928" s="28" t="str">
        <f aca="false">INDEX(Campaigns!$C$2:$C$31,MATCH(B928,Campaigns!$A$2:$A$31,0))</f>
        <v>Influencer Partnerships</v>
      </c>
      <c r="J928" s="40" t="n">
        <f aca="false">DATE(YEAR(A928),MONTH(A928),1)</f>
        <v>46235</v>
      </c>
    </row>
    <row r="929" customFormat="false" ht="15" hidden="false" customHeight="false" outlineLevel="0" collapsed="false">
      <c r="A929" s="34" t="n">
        <v>46264</v>
      </c>
      <c r="B929" s="28" t="s">
        <v>156</v>
      </c>
      <c r="C929" s="35" t="n">
        <v>47170</v>
      </c>
      <c r="D929" s="35" t="n">
        <v>444</v>
      </c>
      <c r="E929" s="35" t="n">
        <v>65</v>
      </c>
      <c r="F929" s="35" t="n">
        <v>10</v>
      </c>
      <c r="G929" s="35" t="n">
        <v>23810</v>
      </c>
      <c r="H929" s="35" t="n">
        <v>8413</v>
      </c>
      <c r="I929" s="28" t="str">
        <f aca="false">INDEX(Campaigns!$C$2:$C$31,MATCH(B929,Campaigns!$A$2:$A$31,0))</f>
        <v>TikTok Ads</v>
      </c>
      <c r="J929" s="40" t="n">
        <f aca="false">DATE(YEAR(A929),MONTH(A929),1)</f>
        <v>46235</v>
      </c>
    </row>
    <row r="930" customFormat="false" ht="15" hidden="false" customHeight="false" outlineLevel="0" collapsed="false">
      <c r="A930" s="34" t="n">
        <v>46264</v>
      </c>
      <c r="B930" s="28" t="s">
        <v>158</v>
      </c>
      <c r="C930" s="35" t="n">
        <v>17102</v>
      </c>
      <c r="D930" s="35" t="n">
        <v>167</v>
      </c>
      <c r="E930" s="35" t="n">
        <v>28</v>
      </c>
      <c r="F930" s="35" t="n">
        <v>1</v>
      </c>
      <c r="G930" s="35" t="n">
        <v>4650</v>
      </c>
      <c r="H930" s="35" t="n">
        <v>10685</v>
      </c>
      <c r="I930" s="28" t="str">
        <f aca="false">INDEX(Campaigns!$C$2:$C$31,MATCH(B930,Campaigns!$A$2:$A$31,0))</f>
        <v>Influencer Partnerships</v>
      </c>
      <c r="J930" s="40" t="n">
        <f aca="false">DATE(YEAR(A930),MONTH(A930),1)</f>
        <v>46235</v>
      </c>
    </row>
    <row r="931" customFormat="false" ht="15" hidden="false" customHeight="false" outlineLevel="0" collapsed="false">
      <c r="A931" s="34" t="n">
        <v>46264</v>
      </c>
      <c r="B931" s="28" t="s">
        <v>161</v>
      </c>
      <c r="C931" s="35" t="n">
        <v>40076</v>
      </c>
      <c r="D931" s="35" t="n">
        <v>552</v>
      </c>
      <c r="E931" s="35" t="n">
        <v>11</v>
      </c>
      <c r="F931" s="35" t="n">
        <v>1</v>
      </c>
      <c r="G931" s="35" t="n">
        <v>2770</v>
      </c>
      <c r="H931" s="35" t="n">
        <v>11053</v>
      </c>
      <c r="I931" s="28" t="str">
        <f aca="false">INDEX(Campaigns!$C$2:$C$31,MATCH(B931,Campaigns!$A$2:$A$31,0))</f>
        <v>Facebook &amp; Instagram Ads</v>
      </c>
      <c r="J931" s="40" t="n">
        <f aca="false">DATE(YEAR(A931),MONTH(A931),1)</f>
        <v>46235</v>
      </c>
    </row>
    <row r="932" customFormat="false" ht="15" hidden="false" customHeight="false" outlineLevel="0" collapsed="false">
      <c r="A932" s="34" t="n">
        <v>46264</v>
      </c>
      <c r="B932" s="28" t="s">
        <v>163</v>
      </c>
      <c r="C932" s="35" t="n">
        <v>1525</v>
      </c>
      <c r="D932" s="35" t="n">
        <v>46</v>
      </c>
      <c r="E932" s="35" t="n">
        <v>2</v>
      </c>
      <c r="F932" s="35" t="n">
        <v>1</v>
      </c>
      <c r="G932" s="35" t="n">
        <v>3180</v>
      </c>
      <c r="H932" s="35" t="n">
        <v>565</v>
      </c>
      <c r="I932" s="28" t="str">
        <f aca="false">INDEX(Campaigns!$C$2:$C$31,MATCH(B932,Campaigns!$A$2:$A$31,0))</f>
        <v>Email</v>
      </c>
      <c r="J932" s="40" t="n">
        <f aca="false">DATE(YEAR(A932),MONTH(A932),1)</f>
        <v>46235</v>
      </c>
    </row>
    <row r="933" customFormat="false" ht="15" hidden="false" customHeight="false" outlineLevel="0" collapsed="false">
      <c r="A933" s="34" t="n">
        <v>46265</v>
      </c>
      <c r="B933" s="28" t="s">
        <v>108</v>
      </c>
      <c r="C933" s="35" t="n">
        <v>7703</v>
      </c>
      <c r="D933" s="35" t="n">
        <v>258</v>
      </c>
      <c r="E933" s="35" t="n">
        <v>7</v>
      </c>
      <c r="F933" s="35" t="n">
        <v>11</v>
      </c>
      <c r="G933" s="35" t="n">
        <v>33180</v>
      </c>
      <c r="H933" s="35" t="n">
        <v>2608</v>
      </c>
      <c r="I933" s="28" t="str">
        <f aca="false">INDEX(Campaigns!$C$2:$C$31,MATCH(B933,Campaigns!$A$2:$A$31,0))</f>
        <v>Email</v>
      </c>
      <c r="J933" s="40" t="n">
        <f aca="false">DATE(YEAR(A933),MONTH(A933),1)</f>
        <v>46235</v>
      </c>
    </row>
    <row r="934" customFormat="false" ht="15" hidden="false" customHeight="false" outlineLevel="0" collapsed="false">
      <c r="A934" s="34" t="n">
        <v>46265</v>
      </c>
      <c r="B934" s="28" t="s">
        <v>110</v>
      </c>
      <c r="C934" s="35" t="n">
        <v>15391</v>
      </c>
      <c r="D934" s="35" t="n">
        <v>136</v>
      </c>
      <c r="E934" s="35" t="n">
        <v>17</v>
      </c>
      <c r="F934" s="35" t="n">
        <v>0</v>
      </c>
      <c r="G934" s="35" t="n">
        <v>0</v>
      </c>
      <c r="H934" s="35" t="n">
        <v>8582</v>
      </c>
      <c r="I934" s="28" t="str">
        <f aca="false">INDEX(Campaigns!$C$2:$C$31,MATCH(B934,Campaigns!$A$2:$A$31,0))</f>
        <v>Influencer Partnerships</v>
      </c>
      <c r="J934" s="40" t="n">
        <f aca="false">DATE(YEAR(A934),MONTH(A934),1)</f>
        <v>46235</v>
      </c>
    </row>
    <row r="935" customFormat="false" ht="15" hidden="false" customHeight="false" outlineLevel="0" collapsed="false">
      <c r="A935" s="34" t="n">
        <v>46265</v>
      </c>
      <c r="B935" s="28" t="s">
        <v>116</v>
      </c>
      <c r="C935" s="35" t="n">
        <v>20766</v>
      </c>
      <c r="D935" s="35" t="n">
        <v>236</v>
      </c>
      <c r="E935" s="35" t="n">
        <v>14</v>
      </c>
      <c r="F935" s="35" t="n">
        <v>5</v>
      </c>
      <c r="G935" s="35" t="n">
        <v>15530</v>
      </c>
      <c r="H935" s="35" t="n">
        <v>5169</v>
      </c>
      <c r="I935" s="28" t="str">
        <f aca="false">INDEX(Campaigns!$C$2:$C$31,MATCH(B935,Campaigns!$A$2:$A$31,0))</f>
        <v>Facebook &amp; Instagram Ads</v>
      </c>
      <c r="J935" s="40" t="n">
        <f aca="false">DATE(YEAR(A935),MONTH(A935),1)</f>
        <v>46235</v>
      </c>
    </row>
    <row r="936" customFormat="false" ht="15" hidden="false" customHeight="false" outlineLevel="0" collapsed="false">
      <c r="A936" s="34" t="n">
        <v>46265</v>
      </c>
      <c r="B936" s="28" t="s">
        <v>118</v>
      </c>
      <c r="C936" s="35" t="n">
        <v>2816</v>
      </c>
      <c r="D936" s="35" t="n">
        <v>155</v>
      </c>
      <c r="E936" s="35" t="n">
        <v>7</v>
      </c>
      <c r="F936" s="35" t="n">
        <v>11</v>
      </c>
      <c r="G936" s="35" t="n">
        <v>46410</v>
      </c>
      <c r="H936" s="35" t="n">
        <v>2571</v>
      </c>
      <c r="I936" s="28" t="str">
        <f aca="false">INDEX(Campaigns!$C$2:$C$31,MATCH(B936,Campaigns!$A$2:$A$31,0))</f>
        <v>Google Search Ads</v>
      </c>
      <c r="J936" s="40" t="n">
        <f aca="false">DATE(YEAR(A936),MONTH(A936),1)</f>
        <v>46235</v>
      </c>
    </row>
    <row r="937" customFormat="false" ht="15" hidden="false" customHeight="false" outlineLevel="0" collapsed="false">
      <c r="A937" s="34" t="n">
        <v>46265</v>
      </c>
      <c r="B937" s="28" t="s">
        <v>124</v>
      </c>
      <c r="C937" s="35" t="n">
        <v>6944</v>
      </c>
      <c r="D937" s="35" t="n">
        <v>180</v>
      </c>
      <c r="E937" s="35" t="n">
        <v>4</v>
      </c>
      <c r="F937" s="35" t="n">
        <v>2</v>
      </c>
      <c r="G937" s="35" t="n">
        <v>5610</v>
      </c>
      <c r="H937" s="35" t="n">
        <v>2434</v>
      </c>
      <c r="I937" s="28" t="str">
        <f aca="false">INDEX(Campaigns!$C$2:$C$31,MATCH(B937,Campaigns!$A$2:$A$31,0))</f>
        <v>Email</v>
      </c>
      <c r="J937" s="40" t="n">
        <f aca="false">DATE(YEAR(A937),MONTH(A937),1)</f>
        <v>46235</v>
      </c>
    </row>
    <row r="938" customFormat="false" ht="15" hidden="false" customHeight="false" outlineLevel="0" collapsed="false">
      <c r="A938" s="34" t="n">
        <v>46265</v>
      </c>
      <c r="B938" s="28" t="s">
        <v>126</v>
      </c>
      <c r="C938" s="35" t="n">
        <v>13470</v>
      </c>
      <c r="D938" s="35" t="n">
        <v>99</v>
      </c>
      <c r="E938" s="35" t="n">
        <v>6</v>
      </c>
      <c r="F938" s="35" t="n">
        <v>1</v>
      </c>
      <c r="G938" s="35" t="n">
        <v>2690</v>
      </c>
      <c r="H938" s="35" t="n">
        <v>2680</v>
      </c>
      <c r="I938" s="28" t="str">
        <f aca="false">INDEX(Campaigns!$C$2:$C$31,MATCH(B938,Campaigns!$A$2:$A$31,0))</f>
        <v>TikTok Ads</v>
      </c>
      <c r="J938" s="40" t="n">
        <f aca="false">DATE(YEAR(A938),MONTH(A938),1)</f>
        <v>46235</v>
      </c>
    </row>
    <row r="939" customFormat="false" ht="15" hidden="false" customHeight="false" outlineLevel="0" collapsed="false">
      <c r="A939" s="34" t="n">
        <v>46265</v>
      </c>
      <c r="B939" s="28" t="s">
        <v>130</v>
      </c>
      <c r="C939" s="35" t="n">
        <v>3086</v>
      </c>
      <c r="D939" s="35" t="n">
        <v>272</v>
      </c>
      <c r="E939" s="35" t="n">
        <v>12</v>
      </c>
      <c r="F939" s="35" t="n">
        <v>27</v>
      </c>
      <c r="G939" s="35" t="n">
        <v>76700</v>
      </c>
      <c r="H939" s="35" t="n">
        <v>4087</v>
      </c>
      <c r="I939" s="28" t="str">
        <f aca="false">INDEX(Campaigns!$C$2:$C$31,MATCH(B939,Campaigns!$A$2:$A$31,0))</f>
        <v>WhatsApp Broadcast</v>
      </c>
      <c r="J939" s="40" t="n">
        <f aca="false">DATE(YEAR(A939),MONTH(A939),1)</f>
        <v>46235</v>
      </c>
    </row>
    <row r="940" customFormat="false" ht="15" hidden="false" customHeight="false" outlineLevel="0" collapsed="false">
      <c r="A940" s="34" t="n">
        <v>46265</v>
      </c>
      <c r="B940" s="28" t="s">
        <v>132</v>
      </c>
      <c r="C940" s="35" t="n">
        <v>30076</v>
      </c>
      <c r="D940" s="35" t="n">
        <v>385</v>
      </c>
      <c r="E940" s="35" t="n">
        <v>54</v>
      </c>
      <c r="F940" s="35" t="n">
        <v>6</v>
      </c>
      <c r="G940" s="35" t="n">
        <v>21380</v>
      </c>
      <c r="H940" s="35" t="n">
        <v>8090</v>
      </c>
      <c r="I940" s="28" t="str">
        <f aca="false">INDEX(Campaigns!$C$2:$C$31,MATCH(B940,Campaigns!$A$2:$A$31,0))</f>
        <v>Facebook &amp; Instagram Ads</v>
      </c>
      <c r="J940" s="40" t="n">
        <f aca="false">DATE(YEAR(A940),MONTH(A940),1)</f>
        <v>46235</v>
      </c>
    </row>
    <row r="941" customFormat="false" ht="15" hidden="false" customHeight="false" outlineLevel="0" collapsed="false">
      <c r="A941" s="34" t="n">
        <v>46265</v>
      </c>
      <c r="B941" s="28" t="s">
        <v>138</v>
      </c>
      <c r="C941" s="35" t="n">
        <v>3726</v>
      </c>
      <c r="D941" s="35" t="n">
        <v>166</v>
      </c>
      <c r="E941" s="35" t="n">
        <v>10</v>
      </c>
      <c r="F941" s="35" t="n">
        <v>6</v>
      </c>
      <c r="G941" s="35" t="n">
        <v>19610</v>
      </c>
      <c r="H941" s="35" t="n">
        <v>5211</v>
      </c>
      <c r="I941" s="28" t="str">
        <f aca="false">INDEX(Campaigns!$C$2:$C$31,MATCH(B941,Campaigns!$A$2:$A$31,0))</f>
        <v>WhatsApp Broadcast</v>
      </c>
      <c r="J941" s="40" t="n">
        <f aca="false">DATE(YEAR(A941),MONTH(A941),1)</f>
        <v>46235</v>
      </c>
    </row>
    <row r="942" customFormat="false" ht="15" hidden="false" customHeight="false" outlineLevel="0" collapsed="false">
      <c r="A942" s="34" t="n">
        <v>46265</v>
      </c>
      <c r="B942" s="28" t="s">
        <v>139</v>
      </c>
      <c r="C942" s="35" t="n">
        <v>17227</v>
      </c>
      <c r="D942" s="35" t="n">
        <v>169</v>
      </c>
      <c r="E942" s="35" t="n">
        <v>8</v>
      </c>
      <c r="F942" s="35" t="n">
        <v>6</v>
      </c>
      <c r="G942" s="35" t="n">
        <v>19510</v>
      </c>
      <c r="H942" s="35" t="n">
        <v>3131</v>
      </c>
      <c r="I942" s="28" t="str">
        <f aca="false">INDEX(Campaigns!$C$2:$C$31,MATCH(B942,Campaigns!$A$2:$A$31,0))</f>
        <v>TikTok Ads</v>
      </c>
      <c r="J942" s="40" t="n">
        <f aca="false">DATE(YEAR(A942),MONTH(A942),1)</f>
        <v>46235</v>
      </c>
    </row>
    <row r="943" customFormat="false" ht="15" hidden="false" customHeight="false" outlineLevel="0" collapsed="false">
      <c r="A943" s="34" t="n">
        <v>46265</v>
      </c>
      <c r="B943" s="28" t="s">
        <v>147</v>
      </c>
      <c r="C943" s="35" t="n">
        <v>20348</v>
      </c>
      <c r="D943" s="35" t="n">
        <v>262</v>
      </c>
      <c r="E943" s="35" t="n">
        <v>5</v>
      </c>
      <c r="F943" s="35" t="n">
        <v>0</v>
      </c>
      <c r="G943" s="35" t="n">
        <v>0</v>
      </c>
      <c r="H943" s="35" t="n">
        <v>5178</v>
      </c>
      <c r="I943" s="28" t="str">
        <f aca="false">INDEX(Campaigns!$C$2:$C$31,MATCH(B943,Campaigns!$A$2:$A$31,0))</f>
        <v>Facebook &amp; Instagram Ads</v>
      </c>
      <c r="J943" s="40" t="n">
        <f aca="false">DATE(YEAR(A943),MONTH(A943),1)</f>
        <v>46235</v>
      </c>
    </row>
    <row r="944" customFormat="false" ht="15" hidden="false" customHeight="false" outlineLevel="0" collapsed="false">
      <c r="A944" s="34" t="n">
        <v>46265</v>
      </c>
      <c r="B944" s="28" t="s">
        <v>152</v>
      </c>
      <c r="C944" s="35" t="n">
        <v>7235</v>
      </c>
      <c r="D944" s="35" t="n">
        <v>69</v>
      </c>
      <c r="E944" s="35" t="n">
        <v>1</v>
      </c>
      <c r="F944" s="35" t="n">
        <v>2</v>
      </c>
      <c r="G944" s="35" t="n">
        <v>7610</v>
      </c>
      <c r="H944" s="35" t="n">
        <v>4127</v>
      </c>
      <c r="I944" s="28" t="str">
        <f aca="false">INDEX(Campaigns!$C$2:$C$31,MATCH(B944,Campaigns!$A$2:$A$31,0))</f>
        <v>Influencer Partnerships</v>
      </c>
      <c r="J944" s="40" t="n">
        <f aca="false">DATE(YEAR(A944),MONTH(A944),1)</f>
        <v>46235</v>
      </c>
    </row>
    <row r="945" customFormat="false" ht="15" hidden="false" customHeight="false" outlineLevel="0" collapsed="false">
      <c r="A945" s="34" t="n">
        <v>46265</v>
      </c>
      <c r="B945" s="28" t="s">
        <v>154</v>
      </c>
      <c r="C945" s="35" t="n">
        <v>5836</v>
      </c>
      <c r="D945" s="35" t="n">
        <v>42</v>
      </c>
      <c r="E945" s="35" t="n">
        <v>3</v>
      </c>
      <c r="F945" s="35" t="n">
        <v>1</v>
      </c>
      <c r="G945" s="35" t="n">
        <v>2510</v>
      </c>
      <c r="H945" s="35" t="n">
        <v>3577</v>
      </c>
      <c r="I945" s="28" t="str">
        <f aca="false">INDEX(Campaigns!$C$2:$C$31,MATCH(B945,Campaigns!$A$2:$A$31,0))</f>
        <v>Influencer Partnerships</v>
      </c>
      <c r="J945" s="40" t="n">
        <f aca="false">DATE(YEAR(A945),MONTH(A945),1)</f>
        <v>46235</v>
      </c>
    </row>
    <row r="946" customFormat="false" ht="15" hidden="false" customHeight="false" outlineLevel="0" collapsed="false">
      <c r="A946" s="34" t="n">
        <v>46265</v>
      </c>
      <c r="B946" s="28" t="s">
        <v>156</v>
      </c>
      <c r="C946" s="35" t="n">
        <v>39179</v>
      </c>
      <c r="D946" s="35" t="n">
        <v>340</v>
      </c>
      <c r="E946" s="35" t="n">
        <v>52</v>
      </c>
      <c r="F946" s="35" t="n">
        <v>8</v>
      </c>
      <c r="G946" s="35" t="n">
        <v>23000</v>
      </c>
      <c r="H946" s="35" t="n">
        <v>6974</v>
      </c>
      <c r="I946" s="28" t="str">
        <f aca="false">INDEX(Campaigns!$C$2:$C$31,MATCH(B946,Campaigns!$A$2:$A$31,0))</f>
        <v>TikTok Ads</v>
      </c>
      <c r="J946" s="40" t="n">
        <f aca="false">DATE(YEAR(A946),MONTH(A946),1)</f>
        <v>46235</v>
      </c>
    </row>
    <row r="947" customFormat="false" ht="15" hidden="false" customHeight="false" outlineLevel="0" collapsed="false">
      <c r="A947" s="34" t="n">
        <v>46265</v>
      </c>
      <c r="B947" s="28" t="s">
        <v>159</v>
      </c>
      <c r="C947" s="35" t="n">
        <v>31236</v>
      </c>
      <c r="D947" s="35" t="n">
        <v>453</v>
      </c>
      <c r="E947" s="35" t="n">
        <v>66</v>
      </c>
      <c r="F947" s="35" t="n">
        <v>5</v>
      </c>
      <c r="G947" s="35" t="n">
        <v>14690</v>
      </c>
      <c r="H947" s="35" t="n">
        <v>7115</v>
      </c>
      <c r="I947" s="28" t="str">
        <f aca="false">INDEX(Campaigns!$C$2:$C$31,MATCH(B947,Campaigns!$A$2:$A$31,0))</f>
        <v>Facebook &amp; Instagram Ads</v>
      </c>
      <c r="J947" s="40" t="n">
        <f aca="false">DATE(YEAR(A947),MONTH(A947),1)</f>
        <v>46235</v>
      </c>
    </row>
    <row r="948" customFormat="false" ht="15" hidden="false" customHeight="false" outlineLevel="0" collapsed="false">
      <c r="A948" s="34" t="n">
        <v>46265</v>
      </c>
      <c r="B948" s="28" t="s">
        <v>163</v>
      </c>
      <c r="C948" s="35" t="n">
        <v>1649</v>
      </c>
      <c r="D948" s="35" t="n">
        <v>53</v>
      </c>
      <c r="E948" s="35" t="n">
        <v>4</v>
      </c>
      <c r="F948" s="35" t="n">
        <v>3</v>
      </c>
      <c r="G948" s="35" t="n">
        <v>8700</v>
      </c>
      <c r="H948" s="35" t="n">
        <v>560</v>
      </c>
      <c r="I948" s="28" t="str">
        <f aca="false">INDEX(Campaigns!$C$2:$C$31,MATCH(B948,Campaigns!$A$2:$A$31,0))</f>
        <v>Email</v>
      </c>
      <c r="J948" s="40" t="n">
        <f aca="false">DATE(YEAR(A948),MONTH(A948),1)</f>
        <v>46235</v>
      </c>
    </row>
    <row r="949" customFormat="false" ht="15" hidden="false" customHeight="false" outlineLevel="0" collapsed="false">
      <c r="A949" s="34" t="n">
        <v>46266</v>
      </c>
      <c r="B949" s="28" t="s">
        <v>105</v>
      </c>
      <c r="C949" s="35" t="n">
        <v>4534</v>
      </c>
      <c r="D949" s="35" t="n">
        <v>172</v>
      </c>
      <c r="E949" s="35" t="n">
        <v>8</v>
      </c>
      <c r="F949" s="35" t="n">
        <v>2</v>
      </c>
      <c r="G949" s="35" t="n">
        <v>7120</v>
      </c>
      <c r="H949" s="35" t="n">
        <v>4505</v>
      </c>
      <c r="I949" s="28" t="str">
        <f aca="false">INDEX(Campaigns!$C$2:$C$31,MATCH(B949,Campaigns!$A$2:$A$31,0))</f>
        <v>Google Search Ads</v>
      </c>
      <c r="J949" s="40" t="n">
        <f aca="false">DATE(YEAR(A949),MONTH(A949),1)</f>
        <v>46266</v>
      </c>
    </row>
    <row r="950" customFormat="false" ht="15" hidden="false" customHeight="false" outlineLevel="0" collapsed="false">
      <c r="A950" s="34" t="n">
        <v>46266</v>
      </c>
      <c r="B950" s="28" t="s">
        <v>108</v>
      </c>
      <c r="C950" s="35" t="n">
        <v>7362</v>
      </c>
      <c r="D950" s="35" t="n">
        <v>222</v>
      </c>
      <c r="E950" s="35" t="n">
        <v>8</v>
      </c>
      <c r="F950" s="35" t="n">
        <v>7</v>
      </c>
      <c r="G950" s="35" t="n">
        <v>20630</v>
      </c>
      <c r="H950" s="35" t="n">
        <v>2684</v>
      </c>
      <c r="I950" s="28" t="str">
        <f aca="false">INDEX(Campaigns!$C$2:$C$31,MATCH(B950,Campaigns!$A$2:$A$31,0))</f>
        <v>Email</v>
      </c>
      <c r="J950" s="40" t="n">
        <f aca="false">DATE(YEAR(A950),MONTH(A950),1)</f>
        <v>46266</v>
      </c>
    </row>
    <row r="951" customFormat="false" ht="15" hidden="false" customHeight="false" outlineLevel="0" collapsed="false">
      <c r="A951" s="34" t="n">
        <v>46266</v>
      </c>
      <c r="B951" s="28" t="s">
        <v>110</v>
      </c>
      <c r="C951" s="35" t="n">
        <v>14101</v>
      </c>
      <c r="D951" s="35" t="n">
        <v>150</v>
      </c>
      <c r="E951" s="35" t="n">
        <v>24</v>
      </c>
      <c r="F951" s="35" t="n">
        <v>0</v>
      </c>
      <c r="G951" s="35" t="n">
        <v>0</v>
      </c>
      <c r="H951" s="35" t="n">
        <v>8902</v>
      </c>
      <c r="I951" s="28" t="str">
        <f aca="false">INDEX(Campaigns!$C$2:$C$31,MATCH(B951,Campaigns!$A$2:$A$31,0))</f>
        <v>Influencer Partnerships</v>
      </c>
      <c r="J951" s="40" t="n">
        <f aca="false">DATE(YEAR(A951),MONTH(A951),1)</f>
        <v>46266</v>
      </c>
    </row>
    <row r="952" customFormat="false" ht="15" hidden="false" customHeight="false" outlineLevel="0" collapsed="false">
      <c r="A952" s="34" t="n">
        <v>46266</v>
      </c>
      <c r="B952" s="28" t="s">
        <v>114</v>
      </c>
      <c r="C952" s="35" t="n">
        <v>788</v>
      </c>
      <c r="D952" s="35" t="n">
        <v>48</v>
      </c>
      <c r="E952" s="35" t="n">
        <v>2</v>
      </c>
      <c r="F952" s="35" t="n">
        <v>1</v>
      </c>
      <c r="G952" s="35" t="n">
        <v>4180</v>
      </c>
      <c r="H952" s="35" t="n">
        <v>1113</v>
      </c>
      <c r="I952" s="28" t="str">
        <f aca="false">INDEX(Campaigns!$C$2:$C$31,MATCH(B952,Campaigns!$A$2:$A$31,0))</f>
        <v>WhatsApp Broadcast</v>
      </c>
      <c r="J952" s="40" t="n">
        <f aca="false">DATE(YEAR(A952),MONTH(A952),1)</f>
        <v>46266</v>
      </c>
    </row>
    <row r="953" customFormat="false" ht="15" hidden="false" customHeight="false" outlineLevel="0" collapsed="false">
      <c r="A953" s="34" t="n">
        <v>46266</v>
      </c>
      <c r="B953" s="28" t="s">
        <v>116</v>
      </c>
      <c r="C953" s="35" t="n">
        <v>27384</v>
      </c>
      <c r="D953" s="35" t="n">
        <v>348</v>
      </c>
      <c r="E953" s="35" t="n">
        <v>12</v>
      </c>
      <c r="F953" s="35" t="n">
        <v>3</v>
      </c>
      <c r="G953" s="35" t="n">
        <v>11420</v>
      </c>
      <c r="H953" s="35" t="n">
        <v>6278</v>
      </c>
      <c r="I953" s="28" t="str">
        <f aca="false">INDEX(Campaigns!$C$2:$C$31,MATCH(B953,Campaigns!$A$2:$A$31,0))</f>
        <v>Facebook &amp; Instagram Ads</v>
      </c>
      <c r="J953" s="40" t="n">
        <f aca="false">DATE(YEAR(A953),MONTH(A953),1)</f>
        <v>46266</v>
      </c>
    </row>
    <row r="954" customFormat="false" ht="15" hidden="false" customHeight="false" outlineLevel="0" collapsed="false">
      <c r="A954" s="34" t="n">
        <v>46266</v>
      </c>
      <c r="B954" s="28" t="s">
        <v>118</v>
      </c>
      <c r="C954" s="35" t="n">
        <v>2743</v>
      </c>
      <c r="D954" s="35" t="n">
        <v>152</v>
      </c>
      <c r="E954" s="35" t="n">
        <v>4</v>
      </c>
      <c r="F954" s="35" t="n">
        <v>7</v>
      </c>
      <c r="G954" s="35" t="n">
        <v>24720</v>
      </c>
      <c r="H954" s="35" t="n">
        <v>2717</v>
      </c>
      <c r="I954" s="28" t="str">
        <f aca="false">INDEX(Campaigns!$C$2:$C$31,MATCH(B954,Campaigns!$A$2:$A$31,0))</f>
        <v>Google Search Ads</v>
      </c>
      <c r="J954" s="40" t="n">
        <f aca="false">DATE(YEAR(A954),MONTH(A954),1)</f>
        <v>46266</v>
      </c>
    </row>
    <row r="955" customFormat="false" ht="15" hidden="false" customHeight="false" outlineLevel="0" collapsed="false">
      <c r="A955" s="34" t="n">
        <v>46266</v>
      </c>
      <c r="B955" s="28" t="s">
        <v>124</v>
      </c>
      <c r="C955" s="35" t="n">
        <v>5779</v>
      </c>
      <c r="D955" s="35" t="n">
        <v>108</v>
      </c>
      <c r="E955" s="35" t="n">
        <v>5</v>
      </c>
      <c r="F955" s="35" t="n">
        <v>1</v>
      </c>
      <c r="G955" s="35" t="n">
        <v>3270</v>
      </c>
      <c r="H955" s="35" t="n">
        <v>2216</v>
      </c>
      <c r="I955" s="28" t="str">
        <f aca="false">INDEX(Campaigns!$C$2:$C$31,MATCH(B955,Campaigns!$A$2:$A$31,0))</f>
        <v>Email</v>
      </c>
      <c r="J955" s="40" t="n">
        <f aca="false">DATE(YEAR(A955),MONTH(A955),1)</f>
        <v>46266</v>
      </c>
    </row>
    <row r="956" customFormat="false" ht="15" hidden="false" customHeight="false" outlineLevel="0" collapsed="false">
      <c r="A956" s="34" t="n">
        <v>46266</v>
      </c>
      <c r="B956" s="28" t="s">
        <v>126</v>
      </c>
      <c r="C956" s="35" t="n">
        <v>15183</v>
      </c>
      <c r="D956" s="35" t="n">
        <v>114</v>
      </c>
      <c r="E956" s="35" t="n">
        <v>4</v>
      </c>
      <c r="F956" s="35" t="n">
        <v>1</v>
      </c>
      <c r="G956" s="35" t="n">
        <v>3290</v>
      </c>
      <c r="H956" s="35" t="n">
        <v>3034</v>
      </c>
      <c r="I956" s="28" t="str">
        <f aca="false">INDEX(Campaigns!$C$2:$C$31,MATCH(B956,Campaigns!$A$2:$A$31,0))</f>
        <v>TikTok Ads</v>
      </c>
      <c r="J956" s="40" t="n">
        <f aca="false">DATE(YEAR(A956),MONTH(A956),1)</f>
        <v>46266</v>
      </c>
    </row>
    <row r="957" customFormat="false" ht="15" hidden="false" customHeight="false" outlineLevel="0" collapsed="false">
      <c r="A957" s="34" t="n">
        <v>46266</v>
      </c>
      <c r="B957" s="28" t="s">
        <v>130</v>
      </c>
      <c r="C957" s="35" t="n">
        <v>3383</v>
      </c>
      <c r="D957" s="35" t="n">
        <v>284</v>
      </c>
      <c r="E957" s="35" t="n">
        <v>10</v>
      </c>
      <c r="F957" s="35" t="n">
        <v>39</v>
      </c>
      <c r="G957" s="35" t="n">
        <v>109900</v>
      </c>
      <c r="H957" s="35" t="n">
        <v>4518</v>
      </c>
      <c r="I957" s="28" t="str">
        <f aca="false">INDEX(Campaigns!$C$2:$C$31,MATCH(B957,Campaigns!$A$2:$A$31,0))</f>
        <v>WhatsApp Broadcast</v>
      </c>
      <c r="J957" s="40" t="n">
        <f aca="false">DATE(YEAR(A957),MONTH(A957),1)</f>
        <v>46266</v>
      </c>
    </row>
    <row r="958" customFormat="false" ht="15" hidden="false" customHeight="false" outlineLevel="0" collapsed="false">
      <c r="A958" s="34" t="n">
        <v>46266</v>
      </c>
      <c r="B958" s="28" t="s">
        <v>138</v>
      </c>
      <c r="C958" s="35" t="n">
        <v>2624</v>
      </c>
      <c r="D958" s="35" t="n">
        <v>120</v>
      </c>
      <c r="E958" s="35" t="n">
        <v>8</v>
      </c>
      <c r="F958" s="35" t="n">
        <v>2</v>
      </c>
      <c r="G958" s="35" t="n">
        <v>6100</v>
      </c>
      <c r="H958" s="35" t="n">
        <v>4004</v>
      </c>
      <c r="I958" s="28" t="str">
        <f aca="false">INDEX(Campaigns!$C$2:$C$31,MATCH(B958,Campaigns!$A$2:$A$31,0))</f>
        <v>WhatsApp Broadcast</v>
      </c>
      <c r="J958" s="40" t="n">
        <f aca="false">DATE(YEAR(A958),MONTH(A958),1)</f>
        <v>46266</v>
      </c>
    </row>
    <row r="959" customFormat="false" ht="15" hidden="false" customHeight="false" outlineLevel="0" collapsed="false">
      <c r="A959" s="34" t="n">
        <v>46266</v>
      </c>
      <c r="B959" s="28" t="s">
        <v>139</v>
      </c>
      <c r="C959" s="35" t="n">
        <v>18147</v>
      </c>
      <c r="D959" s="35" t="n">
        <v>177</v>
      </c>
      <c r="E959" s="35" t="n">
        <v>7</v>
      </c>
      <c r="F959" s="35" t="n">
        <v>2</v>
      </c>
      <c r="G959" s="35" t="n">
        <v>4880</v>
      </c>
      <c r="H959" s="35" t="n">
        <v>3231</v>
      </c>
      <c r="I959" s="28" t="str">
        <f aca="false">INDEX(Campaigns!$C$2:$C$31,MATCH(B959,Campaigns!$A$2:$A$31,0))</f>
        <v>TikTok Ads</v>
      </c>
      <c r="J959" s="40" t="n">
        <f aca="false">DATE(YEAR(A959),MONTH(A959),1)</f>
        <v>46266</v>
      </c>
    </row>
    <row r="960" customFormat="false" ht="15" hidden="false" customHeight="false" outlineLevel="0" collapsed="false">
      <c r="A960" s="34" t="n">
        <v>46266</v>
      </c>
      <c r="B960" s="28" t="s">
        <v>141</v>
      </c>
      <c r="C960" s="35" t="n">
        <v>7210</v>
      </c>
      <c r="D960" s="35" t="n">
        <v>213</v>
      </c>
      <c r="E960" s="35" t="n">
        <v>6</v>
      </c>
      <c r="F960" s="35" t="n">
        <v>8</v>
      </c>
      <c r="G960" s="35" t="n">
        <v>24370</v>
      </c>
      <c r="H960" s="35" t="n">
        <v>2607</v>
      </c>
      <c r="I960" s="28" t="str">
        <f aca="false">INDEX(Campaigns!$C$2:$C$31,MATCH(B960,Campaigns!$A$2:$A$31,0))</f>
        <v>Email</v>
      </c>
      <c r="J960" s="40" t="n">
        <f aca="false">DATE(YEAR(A960),MONTH(A960),1)</f>
        <v>46266</v>
      </c>
    </row>
    <row r="961" customFormat="false" ht="15" hidden="false" customHeight="false" outlineLevel="0" collapsed="false">
      <c r="A961" s="34" t="n">
        <v>46266</v>
      </c>
      <c r="B961" s="28" t="s">
        <v>147</v>
      </c>
      <c r="C961" s="35" t="n">
        <v>27934</v>
      </c>
      <c r="D961" s="35" t="n">
        <v>377</v>
      </c>
      <c r="E961" s="35" t="n">
        <v>5</v>
      </c>
      <c r="F961" s="35" t="n">
        <v>0</v>
      </c>
      <c r="G961" s="35" t="n">
        <v>0</v>
      </c>
      <c r="H961" s="35" t="n">
        <v>6660</v>
      </c>
      <c r="I961" s="28" t="str">
        <f aca="false">INDEX(Campaigns!$C$2:$C$31,MATCH(B961,Campaigns!$A$2:$A$31,0))</f>
        <v>Facebook &amp; Instagram Ads</v>
      </c>
      <c r="J961" s="40" t="n">
        <f aca="false">DATE(YEAR(A961),MONTH(A961),1)</f>
        <v>46266</v>
      </c>
    </row>
    <row r="962" customFormat="false" ht="15" hidden="false" customHeight="false" outlineLevel="0" collapsed="false">
      <c r="A962" s="34" t="n">
        <v>46266</v>
      </c>
      <c r="B962" s="28" t="s">
        <v>152</v>
      </c>
      <c r="C962" s="35" t="n">
        <v>7859</v>
      </c>
      <c r="D962" s="35" t="n">
        <v>74</v>
      </c>
      <c r="E962" s="35" t="n">
        <v>1</v>
      </c>
      <c r="F962" s="35" t="n">
        <v>0</v>
      </c>
      <c r="G962" s="35" t="n">
        <v>0</v>
      </c>
      <c r="H962" s="35" t="n">
        <v>4326</v>
      </c>
      <c r="I962" s="28" t="str">
        <f aca="false">INDEX(Campaigns!$C$2:$C$31,MATCH(B962,Campaigns!$A$2:$A$31,0))</f>
        <v>Influencer Partnerships</v>
      </c>
      <c r="J962" s="40" t="n">
        <f aca="false">DATE(YEAR(A962),MONTH(A962),1)</f>
        <v>46266</v>
      </c>
    </row>
    <row r="963" customFormat="false" ht="15" hidden="false" customHeight="false" outlineLevel="0" collapsed="false">
      <c r="A963" s="34" t="n">
        <v>46266</v>
      </c>
      <c r="B963" s="28" t="s">
        <v>156</v>
      </c>
      <c r="C963" s="35" t="n">
        <v>37351</v>
      </c>
      <c r="D963" s="35" t="n">
        <v>349</v>
      </c>
      <c r="E963" s="35" t="n">
        <v>52</v>
      </c>
      <c r="F963" s="35" t="n">
        <v>7</v>
      </c>
      <c r="G963" s="35" t="n">
        <v>18890</v>
      </c>
      <c r="H963" s="35" t="n">
        <v>7444</v>
      </c>
      <c r="I963" s="28" t="str">
        <f aca="false">INDEX(Campaigns!$C$2:$C$31,MATCH(B963,Campaigns!$A$2:$A$31,0))</f>
        <v>TikTok Ads</v>
      </c>
      <c r="J963" s="40" t="n">
        <f aca="false">DATE(YEAR(A963),MONTH(A963),1)</f>
        <v>46266</v>
      </c>
    </row>
    <row r="964" customFormat="false" ht="15" hidden="false" customHeight="false" outlineLevel="0" collapsed="false">
      <c r="A964" s="34" t="n">
        <v>46266</v>
      </c>
      <c r="B964" s="28" t="s">
        <v>159</v>
      </c>
      <c r="C964" s="35" t="n">
        <v>25827</v>
      </c>
      <c r="D964" s="35" t="n">
        <v>388</v>
      </c>
      <c r="E964" s="35" t="n">
        <v>55</v>
      </c>
      <c r="F964" s="35" t="n">
        <v>8</v>
      </c>
      <c r="G964" s="35" t="n">
        <v>26600</v>
      </c>
      <c r="H964" s="35" t="n">
        <v>6056</v>
      </c>
      <c r="I964" s="28" t="str">
        <f aca="false">INDEX(Campaigns!$C$2:$C$31,MATCH(B964,Campaigns!$A$2:$A$31,0))</f>
        <v>Facebook &amp; Instagram Ads</v>
      </c>
      <c r="J964" s="40" t="n">
        <f aca="false">DATE(YEAR(A964),MONTH(A964),1)</f>
        <v>46266</v>
      </c>
    </row>
    <row r="965" customFormat="false" ht="15" hidden="false" customHeight="false" outlineLevel="0" collapsed="false">
      <c r="A965" s="34" t="n">
        <v>46266</v>
      </c>
      <c r="B965" s="28" t="s">
        <v>161</v>
      </c>
      <c r="C965" s="35" t="n">
        <v>50520</v>
      </c>
      <c r="D965" s="35" t="n">
        <v>664</v>
      </c>
      <c r="E965" s="35" t="n">
        <v>12</v>
      </c>
      <c r="F965" s="35" t="n">
        <v>3</v>
      </c>
      <c r="G965" s="35" t="n">
        <v>8360</v>
      </c>
      <c r="H965" s="35" t="n">
        <v>12112</v>
      </c>
      <c r="I965" s="28" t="str">
        <f aca="false">INDEX(Campaigns!$C$2:$C$31,MATCH(B965,Campaigns!$A$2:$A$31,0))</f>
        <v>Facebook &amp; Instagram Ads</v>
      </c>
      <c r="J965" s="40" t="n">
        <f aca="false">DATE(YEAR(A965),MONTH(A965),1)</f>
        <v>46266</v>
      </c>
    </row>
    <row r="966" customFormat="false" ht="15" hidden="false" customHeight="false" outlineLevel="0" collapsed="false">
      <c r="A966" s="34" t="n">
        <v>46266</v>
      </c>
      <c r="B966" s="28" t="s">
        <v>163</v>
      </c>
      <c r="C966" s="35" t="n">
        <v>1424</v>
      </c>
      <c r="D966" s="35" t="n">
        <v>50</v>
      </c>
      <c r="E966" s="35" t="n">
        <v>2</v>
      </c>
      <c r="F966" s="35" t="n">
        <v>4</v>
      </c>
      <c r="G966" s="35" t="n">
        <v>11570</v>
      </c>
      <c r="H966" s="35" t="n">
        <v>548</v>
      </c>
      <c r="I966" s="28" t="str">
        <f aca="false">INDEX(Campaigns!$C$2:$C$31,MATCH(B966,Campaigns!$A$2:$A$31,0))</f>
        <v>Email</v>
      </c>
      <c r="J966" s="40" t="n">
        <f aca="false">DATE(YEAR(A966),MONTH(A966),1)</f>
        <v>46266</v>
      </c>
    </row>
    <row r="967" customFormat="false" ht="15" hidden="false" customHeight="false" outlineLevel="0" collapsed="false">
      <c r="A967" s="34" t="n">
        <v>46267</v>
      </c>
      <c r="B967" s="28" t="s">
        <v>105</v>
      </c>
      <c r="C967" s="35" t="n">
        <v>5588</v>
      </c>
      <c r="D967" s="35" t="n">
        <v>197</v>
      </c>
      <c r="E967" s="35" t="n">
        <v>8</v>
      </c>
      <c r="F967" s="35" t="n">
        <v>11</v>
      </c>
      <c r="G967" s="35" t="n">
        <v>38220</v>
      </c>
      <c r="H967" s="35" t="n">
        <v>5240</v>
      </c>
      <c r="I967" s="28" t="str">
        <f aca="false">INDEX(Campaigns!$C$2:$C$31,MATCH(B967,Campaigns!$A$2:$A$31,0))</f>
        <v>Google Search Ads</v>
      </c>
      <c r="J967" s="40" t="n">
        <f aca="false">DATE(YEAR(A967),MONTH(A967),1)</f>
        <v>46266</v>
      </c>
    </row>
    <row r="968" customFormat="false" ht="15" hidden="false" customHeight="false" outlineLevel="0" collapsed="false">
      <c r="A968" s="34" t="n">
        <v>46267</v>
      </c>
      <c r="B968" s="28" t="s">
        <v>108</v>
      </c>
      <c r="C968" s="35" t="n">
        <v>6732</v>
      </c>
      <c r="D968" s="35" t="n">
        <v>237</v>
      </c>
      <c r="E968" s="35" t="n">
        <v>7</v>
      </c>
      <c r="F968" s="35" t="n">
        <v>8</v>
      </c>
      <c r="G968" s="35" t="n">
        <v>21300</v>
      </c>
      <c r="H968" s="35" t="n">
        <v>2292</v>
      </c>
      <c r="I968" s="28" t="str">
        <f aca="false">INDEX(Campaigns!$C$2:$C$31,MATCH(B968,Campaigns!$A$2:$A$31,0))</f>
        <v>Email</v>
      </c>
      <c r="J968" s="40" t="n">
        <f aca="false">DATE(YEAR(A968),MONTH(A968),1)</f>
        <v>46266</v>
      </c>
    </row>
    <row r="969" customFormat="false" ht="15" hidden="false" customHeight="false" outlineLevel="0" collapsed="false">
      <c r="A969" s="34" t="n">
        <v>46267</v>
      </c>
      <c r="B969" s="28" t="s">
        <v>114</v>
      </c>
      <c r="C969" s="35" t="n">
        <v>599</v>
      </c>
      <c r="D969" s="35" t="n">
        <v>35</v>
      </c>
      <c r="E969" s="35" t="n">
        <v>2</v>
      </c>
      <c r="F969" s="35" t="n">
        <v>1</v>
      </c>
      <c r="G969" s="35" t="n">
        <v>4280</v>
      </c>
      <c r="H969" s="35" t="n">
        <v>912</v>
      </c>
      <c r="I969" s="28" t="str">
        <f aca="false">INDEX(Campaigns!$C$2:$C$31,MATCH(B969,Campaigns!$A$2:$A$31,0))</f>
        <v>WhatsApp Broadcast</v>
      </c>
      <c r="J969" s="40" t="n">
        <f aca="false">DATE(YEAR(A969),MONTH(A969),1)</f>
        <v>46266</v>
      </c>
    </row>
    <row r="970" customFormat="false" ht="15" hidden="false" customHeight="false" outlineLevel="0" collapsed="false">
      <c r="A970" s="34" t="n">
        <v>46267</v>
      </c>
      <c r="B970" s="28" t="s">
        <v>116</v>
      </c>
      <c r="C970" s="35" t="n">
        <v>23272</v>
      </c>
      <c r="D970" s="35" t="n">
        <v>259</v>
      </c>
      <c r="E970" s="35" t="n">
        <v>16</v>
      </c>
      <c r="F970" s="35" t="n">
        <v>2</v>
      </c>
      <c r="G970" s="35" t="n">
        <v>5140</v>
      </c>
      <c r="H970" s="35" t="n">
        <v>5704</v>
      </c>
      <c r="I970" s="28" t="str">
        <f aca="false">INDEX(Campaigns!$C$2:$C$31,MATCH(B970,Campaigns!$A$2:$A$31,0))</f>
        <v>Facebook &amp; Instagram Ads</v>
      </c>
      <c r="J970" s="40" t="n">
        <f aca="false">DATE(YEAR(A970),MONTH(A970),1)</f>
        <v>46266</v>
      </c>
    </row>
    <row r="971" customFormat="false" ht="15" hidden="false" customHeight="false" outlineLevel="0" collapsed="false">
      <c r="A971" s="34" t="n">
        <v>46267</v>
      </c>
      <c r="B971" s="28" t="s">
        <v>118</v>
      </c>
      <c r="C971" s="35" t="n">
        <v>3139</v>
      </c>
      <c r="D971" s="35" t="n">
        <v>173</v>
      </c>
      <c r="E971" s="35" t="n">
        <v>4</v>
      </c>
      <c r="F971" s="35" t="n">
        <v>9</v>
      </c>
      <c r="G971" s="35" t="n">
        <v>33420</v>
      </c>
      <c r="H971" s="35" t="n">
        <v>2800</v>
      </c>
      <c r="I971" s="28" t="str">
        <f aca="false">INDEX(Campaigns!$C$2:$C$31,MATCH(B971,Campaigns!$A$2:$A$31,0))</f>
        <v>Google Search Ads</v>
      </c>
      <c r="J971" s="40" t="n">
        <f aca="false">DATE(YEAR(A971),MONTH(A971),1)</f>
        <v>46266</v>
      </c>
    </row>
    <row r="972" customFormat="false" ht="15" hidden="false" customHeight="false" outlineLevel="0" collapsed="false">
      <c r="A972" s="34" t="n">
        <v>46267</v>
      </c>
      <c r="B972" s="28" t="s">
        <v>124</v>
      </c>
      <c r="C972" s="35" t="n">
        <v>6444</v>
      </c>
      <c r="D972" s="35" t="n">
        <v>136</v>
      </c>
      <c r="E972" s="35" t="n">
        <v>10</v>
      </c>
      <c r="F972" s="35" t="n">
        <v>0</v>
      </c>
      <c r="G972" s="35" t="n">
        <v>0</v>
      </c>
      <c r="H972" s="35" t="n">
        <v>2474</v>
      </c>
      <c r="I972" s="28" t="str">
        <f aca="false">INDEX(Campaigns!$C$2:$C$31,MATCH(B972,Campaigns!$A$2:$A$31,0))</f>
        <v>Email</v>
      </c>
      <c r="J972" s="40" t="n">
        <f aca="false">DATE(YEAR(A972),MONTH(A972),1)</f>
        <v>46266</v>
      </c>
    </row>
    <row r="973" customFormat="false" ht="15" hidden="false" customHeight="false" outlineLevel="0" collapsed="false">
      <c r="A973" s="34" t="n">
        <v>46267</v>
      </c>
      <c r="B973" s="28" t="s">
        <v>130</v>
      </c>
      <c r="C973" s="35" t="n">
        <v>3340</v>
      </c>
      <c r="D973" s="35" t="n">
        <v>276</v>
      </c>
      <c r="E973" s="35" t="n">
        <v>11</v>
      </c>
      <c r="F973" s="35" t="n">
        <v>36</v>
      </c>
      <c r="G973" s="35" t="n">
        <v>105500</v>
      </c>
      <c r="H973" s="35" t="n">
        <v>4379</v>
      </c>
      <c r="I973" s="28" t="str">
        <f aca="false">INDEX(Campaigns!$C$2:$C$31,MATCH(B973,Campaigns!$A$2:$A$31,0))</f>
        <v>WhatsApp Broadcast</v>
      </c>
      <c r="J973" s="40" t="n">
        <f aca="false">DATE(YEAR(A973),MONTH(A973),1)</f>
        <v>46266</v>
      </c>
    </row>
    <row r="974" customFormat="false" ht="15" hidden="false" customHeight="false" outlineLevel="0" collapsed="false">
      <c r="A974" s="34" t="n">
        <v>46267</v>
      </c>
      <c r="B974" s="28" t="s">
        <v>132</v>
      </c>
      <c r="C974" s="35" t="n">
        <v>36070</v>
      </c>
      <c r="D974" s="35" t="n">
        <v>456</v>
      </c>
      <c r="E974" s="35" t="n">
        <v>58</v>
      </c>
      <c r="F974" s="35" t="n">
        <v>8</v>
      </c>
      <c r="G974" s="35" t="n">
        <v>26280</v>
      </c>
      <c r="H974" s="35" t="n">
        <v>8640</v>
      </c>
      <c r="I974" s="28" t="str">
        <f aca="false">INDEX(Campaigns!$C$2:$C$31,MATCH(B974,Campaigns!$A$2:$A$31,0))</f>
        <v>Facebook &amp; Instagram Ads</v>
      </c>
      <c r="J974" s="40" t="n">
        <f aca="false">DATE(YEAR(A974),MONTH(A974),1)</f>
        <v>46266</v>
      </c>
    </row>
    <row r="975" customFormat="false" ht="15" hidden="false" customHeight="false" outlineLevel="0" collapsed="false">
      <c r="A975" s="34" t="n">
        <v>46267</v>
      </c>
      <c r="B975" s="28" t="s">
        <v>138</v>
      </c>
      <c r="C975" s="35" t="n">
        <v>3583</v>
      </c>
      <c r="D975" s="35" t="n">
        <v>178</v>
      </c>
      <c r="E975" s="35" t="n">
        <v>6</v>
      </c>
      <c r="F975" s="35" t="n">
        <v>2</v>
      </c>
      <c r="G975" s="35" t="n">
        <v>4900</v>
      </c>
      <c r="H975" s="35" t="n">
        <v>4808</v>
      </c>
      <c r="I975" s="28" t="str">
        <f aca="false">INDEX(Campaigns!$C$2:$C$31,MATCH(B975,Campaigns!$A$2:$A$31,0))</f>
        <v>WhatsApp Broadcast</v>
      </c>
      <c r="J975" s="40" t="n">
        <f aca="false">DATE(YEAR(A975),MONTH(A975),1)</f>
        <v>46266</v>
      </c>
    </row>
    <row r="976" customFormat="false" ht="15" hidden="false" customHeight="false" outlineLevel="0" collapsed="false">
      <c r="A976" s="34" t="n">
        <v>46267</v>
      </c>
      <c r="B976" s="28" t="s">
        <v>139</v>
      </c>
      <c r="C976" s="35" t="n">
        <v>17469</v>
      </c>
      <c r="D976" s="35" t="n">
        <v>193</v>
      </c>
      <c r="E976" s="35" t="n">
        <v>6</v>
      </c>
      <c r="F976" s="35" t="n">
        <v>5</v>
      </c>
      <c r="G976" s="35" t="n">
        <v>12590</v>
      </c>
      <c r="H976" s="35" t="n">
        <v>3188</v>
      </c>
      <c r="I976" s="28" t="str">
        <f aca="false">INDEX(Campaigns!$C$2:$C$31,MATCH(B976,Campaigns!$A$2:$A$31,0))</f>
        <v>TikTok Ads</v>
      </c>
      <c r="J976" s="40" t="n">
        <f aca="false">DATE(YEAR(A976),MONTH(A976),1)</f>
        <v>46266</v>
      </c>
    </row>
    <row r="977" customFormat="false" ht="15" hidden="false" customHeight="false" outlineLevel="0" collapsed="false">
      <c r="A977" s="34" t="n">
        <v>46267</v>
      </c>
      <c r="B977" s="28" t="s">
        <v>141</v>
      </c>
      <c r="C977" s="35" t="n">
        <v>7507</v>
      </c>
      <c r="D977" s="35" t="n">
        <v>257</v>
      </c>
      <c r="E977" s="35" t="n">
        <v>14</v>
      </c>
      <c r="F977" s="35" t="n">
        <v>10</v>
      </c>
      <c r="G977" s="35" t="n">
        <v>34030</v>
      </c>
      <c r="H977" s="35" t="n">
        <v>2516</v>
      </c>
      <c r="I977" s="28" t="str">
        <f aca="false">INDEX(Campaigns!$C$2:$C$31,MATCH(B977,Campaigns!$A$2:$A$31,0))</f>
        <v>Email</v>
      </c>
      <c r="J977" s="40" t="n">
        <f aca="false">DATE(YEAR(A977),MONTH(A977),1)</f>
        <v>46266</v>
      </c>
    </row>
    <row r="978" customFormat="false" ht="15" hidden="false" customHeight="false" outlineLevel="0" collapsed="false">
      <c r="A978" s="34" t="n">
        <v>46267</v>
      </c>
      <c r="B978" s="28" t="s">
        <v>143</v>
      </c>
      <c r="C978" s="35" t="n">
        <v>20706</v>
      </c>
      <c r="D978" s="35" t="n">
        <v>1067</v>
      </c>
      <c r="E978" s="35" t="n">
        <v>35</v>
      </c>
      <c r="F978" s="35" t="n">
        <v>49</v>
      </c>
      <c r="G978" s="35" t="n">
        <v>175550</v>
      </c>
      <c r="H978" s="35" t="n">
        <v>18572</v>
      </c>
      <c r="I978" s="28" t="str">
        <f aca="false">INDEX(Campaigns!$C$2:$C$31,MATCH(B978,Campaigns!$A$2:$A$31,0))</f>
        <v>Google Search Ads</v>
      </c>
      <c r="J978" s="40" t="n">
        <f aca="false">DATE(YEAR(A978),MONTH(A978),1)</f>
        <v>46266</v>
      </c>
    </row>
    <row r="979" customFormat="false" ht="15" hidden="false" customHeight="false" outlineLevel="0" collapsed="false">
      <c r="A979" s="34" t="n">
        <v>46267</v>
      </c>
      <c r="B979" s="28" t="s">
        <v>147</v>
      </c>
      <c r="C979" s="35" t="n">
        <v>19557</v>
      </c>
      <c r="D979" s="35" t="n">
        <v>256</v>
      </c>
      <c r="E979" s="35" t="n">
        <v>5</v>
      </c>
      <c r="F979" s="35" t="n">
        <v>1</v>
      </c>
      <c r="G979" s="35" t="n">
        <v>3320</v>
      </c>
      <c r="H979" s="35" t="n">
        <v>5225</v>
      </c>
      <c r="I979" s="28" t="str">
        <f aca="false">INDEX(Campaigns!$C$2:$C$31,MATCH(B979,Campaigns!$A$2:$A$31,0))</f>
        <v>Facebook &amp; Instagram Ads</v>
      </c>
      <c r="J979" s="40" t="n">
        <f aca="false">DATE(YEAR(A979),MONTH(A979),1)</f>
        <v>46266</v>
      </c>
    </row>
    <row r="980" customFormat="false" ht="15" hidden="false" customHeight="false" outlineLevel="0" collapsed="false">
      <c r="A980" s="34" t="n">
        <v>46267</v>
      </c>
      <c r="B980" s="28" t="s">
        <v>152</v>
      </c>
      <c r="C980" s="35" t="n">
        <v>6279</v>
      </c>
      <c r="D980" s="35" t="n">
        <v>71</v>
      </c>
      <c r="E980" s="35" t="n">
        <v>3</v>
      </c>
      <c r="F980" s="35" t="n">
        <v>4</v>
      </c>
      <c r="G980" s="35" t="n">
        <v>14890</v>
      </c>
      <c r="H980" s="35" t="n">
        <v>4061</v>
      </c>
      <c r="I980" s="28" t="str">
        <f aca="false">INDEX(Campaigns!$C$2:$C$31,MATCH(B980,Campaigns!$A$2:$A$31,0))</f>
        <v>Influencer Partnerships</v>
      </c>
      <c r="J980" s="40" t="n">
        <f aca="false">DATE(YEAR(A980),MONTH(A980),1)</f>
        <v>46266</v>
      </c>
    </row>
    <row r="981" customFormat="false" ht="15" hidden="false" customHeight="false" outlineLevel="0" collapsed="false">
      <c r="A981" s="34" t="n">
        <v>46267</v>
      </c>
      <c r="B981" s="28" t="s">
        <v>156</v>
      </c>
      <c r="C981" s="35" t="n">
        <v>40974</v>
      </c>
      <c r="D981" s="35" t="n">
        <v>380</v>
      </c>
      <c r="E981" s="35" t="n">
        <v>50</v>
      </c>
      <c r="F981" s="35" t="n">
        <v>6</v>
      </c>
      <c r="G981" s="35" t="n">
        <v>16190</v>
      </c>
      <c r="H981" s="35" t="n">
        <v>7068</v>
      </c>
      <c r="I981" s="28" t="str">
        <f aca="false">INDEX(Campaigns!$C$2:$C$31,MATCH(B981,Campaigns!$A$2:$A$31,0))</f>
        <v>TikTok Ads</v>
      </c>
      <c r="J981" s="40" t="n">
        <f aca="false">DATE(YEAR(A981),MONTH(A981),1)</f>
        <v>46266</v>
      </c>
    </row>
    <row r="982" customFormat="false" ht="15" hidden="false" customHeight="false" outlineLevel="0" collapsed="false">
      <c r="A982" s="34" t="n">
        <v>46267</v>
      </c>
      <c r="B982" s="28" t="s">
        <v>158</v>
      </c>
      <c r="C982" s="35" t="n">
        <v>20255</v>
      </c>
      <c r="D982" s="35" t="n">
        <v>192</v>
      </c>
      <c r="E982" s="35" t="n">
        <v>28</v>
      </c>
      <c r="F982" s="35" t="n">
        <v>2</v>
      </c>
      <c r="G982" s="35" t="n">
        <v>5620</v>
      </c>
      <c r="H982" s="35" t="n">
        <v>11490</v>
      </c>
      <c r="I982" s="28" t="str">
        <f aca="false">INDEX(Campaigns!$C$2:$C$31,MATCH(B982,Campaigns!$A$2:$A$31,0))</f>
        <v>Influencer Partnerships</v>
      </c>
      <c r="J982" s="40" t="n">
        <f aca="false">DATE(YEAR(A982),MONTH(A982),1)</f>
        <v>46266</v>
      </c>
    </row>
    <row r="983" customFormat="false" ht="15" hidden="false" customHeight="false" outlineLevel="0" collapsed="false">
      <c r="A983" s="34" t="n">
        <v>46267</v>
      </c>
      <c r="B983" s="28" t="s">
        <v>159</v>
      </c>
      <c r="C983" s="35" t="n">
        <v>27720</v>
      </c>
      <c r="D983" s="35" t="n">
        <v>426</v>
      </c>
      <c r="E983" s="35" t="n">
        <v>70</v>
      </c>
      <c r="F983" s="35" t="n">
        <v>10</v>
      </c>
      <c r="G983" s="35" t="n">
        <v>29320</v>
      </c>
      <c r="H983" s="35" t="n">
        <v>6647</v>
      </c>
      <c r="I983" s="28" t="str">
        <f aca="false">INDEX(Campaigns!$C$2:$C$31,MATCH(B983,Campaigns!$A$2:$A$31,0))</f>
        <v>Facebook &amp; Instagram Ads</v>
      </c>
      <c r="J983" s="40" t="n">
        <f aca="false">DATE(YEAR(A983),MONTH(A983),1)</f>
        <v>46266</v>
      </c>
    </row>
    <row r="984" customFormat="false" ht="15" hidden="false" customHeight="false" outlineLevel="0" collapsed="false">
      <c r="A984" s="34" t="n">
        <v>46267</v>
      </c>
      <c r="B984" s="28" t="s">
        <v>161</v>
      </c>
      <c r="C984" s="35" t="n">
        <v>46611</v>
      </c>
      <c r="D984" s="35" t="n">
        <v>607</v>
      </c>
      <c r="E984" s="35" t="n">
        <v>12</v>
      </c>
      <c r="F984" s="35" t="n">
        <v>0</v>
      </c>
      <c r="G984" s="35" t="n">
        <v>0</v>
      </c>
      <c r="H984" s="35" t="n">
        <v>11812</v>
      </c>
      <c r="I984" s="28" t="str">
        <f aca="false">INDEX(Campaigns!$C$2:$C$31,MATCH(B984,Campaigns!$A$2:$A$31,0))</f>
        <v>Facebook &amp; Instagram Ads</v>
      </c>
      <c r="J984" s="40" t="n">
        <f aca="false">DATE(YEAR(A984),MONTH(A984),1)</f>
        <v>46266</v>
      </c>
    </row>
    <row r="985" customFormat="false" ht="15" hidden="false" customHeight="false" outlineLevel="0" collapsed="false">
      <c r="A985" s="34" t="n">
        <v>46267</v>
      </c>
      <c r="B985" s="28" t="s">
        <v>163</v>
      </c>
      <c r="C985" s="35" t="n">
        <v>1520</v>
      </c>
      <c r="D985" s="35" t="n">
        <v>40</v>
      </c>
      <c r="E985" s="35" t="n">
        <v>0</v>
      </c>
      <c r="F985" s="35" t="n">
        <v>3</v>
      </c>
      <c r="G985" s="35" t="n">
        <v>7860</v>
      </c>
      <c r="H985" s="35" t="n">
        <v>590</v>
      </c>
      <c r="I985" s="28" t="str">
        <f aca="false">INDEX(Campaigns!$C$2:$C$31,MATCH(B985,Campaigns!$A$2:$A$31,0))</f>
        <v>Email</v>
      </c>
      <c r="J985" s="40" t="n">
        <f aca="false">DATE(YEAR(A985),MONTH(A985),1)</f>
        <v>46266</v>
      </c>
    </row>
    <row r="986" customFormat="false" ht="15" hidden="false" customHeight="false" outlineLevel="0" collapsed="false">
      <c r="A986" s="34" t="n">
        <v>46268</v>
      </c>
      <c r="B986" s="28" t="s">
        <v>105</v>
      </c>
      <c r="C986" s="35" t="n">
        <v>5673</v>
      </c>
      <c r="D986" s="35" t="n">
        <v>211</v>
      </c>
      <c r="E986" s="35" t="n">
        <v>5</v>
      </c>
      <c r="F986" s="35" t="n">
        <v>5</v>
      </c>
      <c r="G986" s="35" t="n">
        <v>22440</v>
      </c>
      <c r="H986" s="35" t="n">
        <v>4834</v>
      </c>
      <c r="I986" s="28" t="str">
        <f aca="false">INDEX(Campaigns!$C$2:$C$31,MATCH(B986,Campaigns!$A$2:$A$31,0))</f>
        <v>Google Search Ads</v>
      </c>
      <c r="J986" s="40" t="n">
        <f aca="false">DATE(YEAR(A986),MONTH(A986),1)</f>
        <v>46266</v>
      </c>
    </row>
    <row r="987" customFormat="false" ht="15" hidden="false" customHeight="false" outlineLevel="0" collapsed="false">
      <c r="A987" s="34" t="n">
        <v>46268</v>
      </c>
      <c r="B987" s="28" t="s">
        <v>108</v>
      </c>
      <c r="C987" s="35" t="n">
        <v>8189</v>
      </c>
      <c r="D987" s="35" t="n">
        <v>287</v>
      </c>
      <c r="E987" s="35" t="n">
        <v>14</v>
      </c>
      <c r="F987" s="35" t="n">
        <v>6</v>
      </c>
      <c r="G987" s="35" t="n">
        <v>19440</v>
      </c>
      <c r="H987" s="35" t="n">
        <v>2705</v>
      </c>
      <c r="I987" s="28" t="str">
        <f aca="false">INDEX(Campaigns!$C$2:$C$31,MATCH(B987,Campaigns!$A$2:$A$31,0))</f>
        <v>Email</v>
      </c>
      <c r="J987" s="40" t="n">
        <f aca="false">DATE(YEAR(A987),MONTH(A987),1)</f>
        <v>46266</v>
      </c>
    </row>
    <row r="988" customFormat="false" ht="15" hidden="false" customHeight="false" outlineLevel="0" collapsed="false">
      <c r="A988" s="34" t="n">
        <v>46268</v>
      </c>
      <c r="B988" s="28" t="s">
        <v>110</v>
      </c>
      <c r="C988" s="35" t="n">
        <v>12777</v>
      </c>
      <c r="D988" s="35" t="n">
        <v>129</v>
      </c>
      <c r="E988" s="35" t="n">
        <v>22</v>
      </c>
      <c r="F988" s="35" t="n">
        <v>0</v>
      </c>
      <c r="G988" s="35" t="n">
        <v>0</v>
      </c>
      <c r="H988" s="35" t="n">
        <v>7395</v>
      </c>
      <c r="I988" s="28" t="str">
        <f aca="false">INDEX(Campaigns!$C$2:$C$31,MATCH(B988,Campaigns!$A$2:$A$31,0))</f>
        <v>Influencer Partnerships</v>
      </c>
      <c r="J988" s="40" t="n">
        <f aca="false">DATE(YEAR(A988),MONTH(A988),1)</f>
        <v>46266</v>
      </c>
    </row>
    <row r="989" customFormat="false" ht="15" hidden="false" customHeight="false" outlineLevel="0" collapsed="false">
      <c r="A989" s="34" t="n">
        <v>46268</v>
      </c>
      <c r="B989" s="28" t="s">
        <v>114</v>
      </c>
      <c r="C989" s="35" t="n">
        <v>676</v>
      </c>
      <c r="D989" s="35" t="n">
        <v>44</v>
      </c>
      <c r="E989" s="35" t="n">
        <v>2</v>
      </c>
      <c r="F989" s="35" t="n">
        <v>4</v>
      </c>
      <c r="G989" s="35" t="n">
        <v>10490</v>
      </c>
      <c r="H989" s="35" t="n">
        <v>896</v>
      </c>
      <c r="I989" s="28" t="str">
        <f aca="false">INDEX(Campaigns!$C$2:$C$31,MATCH(B989,Campaigns!$A$2:$A$31,0))</f>
        <v>WhatsApp Broadcast</v>
      </c>
      <c r="J989" s="40" t="n">
        <f aca="false">DATE(YEAR(A989),MONTH(A989),1)</f>
        <v>46266</v>
      </c>
    </row>
    <row r="990" customFormat="false" ht="15" hidden="false" customHeight="false" outlineLevel="0" collapsed="false">
      <c r="A990" s="34" t="n">
        <v>46268</v>
      </c>
      <c r="B990" s="28" t="s">
        <v>116</v>
      </c>
      <c r="C990" s="35" t="n">
        <v>25404</v>
      </c>
      <c r="D990" s="35" t="n">
        <v>332</v>
      </c>
      <c r="E990" s="35" t="n">
        <v>14</v>
      </c>
      <c r="F990" s="35" t="n">
        <v>5</v>
      </c>
      <c r="G990" s="35" t="n">
        <v>17620</v>
      </c>
      <c r="H990" s="35" t="n">
        <v>5898</v>
      </c>
      <c r="I990" s="28" t="str">
        <f aca="false">INDEX(Campaigns!$C$2:$C$31,MATCH(B990,Campaigns!$A$2:$A$31,0))</f>
        <v>Facebook &amp; Instagram Ads</v>
      </c>
      <c r="J990" s="40" t="n">
        <f aca="false">DATE(YEAR(A990),MONTH(A990),1)</f>
        <v>46266</v>
      </c>
    </row>
    <row r="991" customFormat="false" ht="15" hidden="false" customHeight="false" outlineLevel="0" collapsed="false">
      <c r="A991" s="34" t="n">
        <v>46268</v>
      </c>
      <c r="B991" s="28" t="s">
        <v>118</v>
      </c>
      <c r="C991" s="35" t="n">
        <v>2916</v>
      </c>
      <c r="D991" s="35" t="n">
        <v>140</v>
      </c>
      <c r="E991" s="35" t="n">
        <v>8</v>
      </c>
      <c r="F991" s="35" t="n">
        <v>5</v>
      </c>
      <c r="G991" s="35" t="n">
        <v>16870</v>
      </c>
      <c r="H991" s="35" t="n">
        <v>2527</v>
      </c>
      <c r="I991" s="28" t="str">
        <f aca="false">INDEX(Campaigns!$C$2:$C$31,MATCH(B991,Campaigns!$A$2:$A$31,0))</f>
        <v>Google Search Ads</v>
      </c>
      <c r="J991" s="40" t="n">
        <f aca="false">DATE(YEAR(A991),MONTH(A991),1)</f>
        <v>46266</v>
      </c>
    </row>
    <row r="992" customFormat="false" ht="15" hidden="false" customHeight="false" outlineLevel="0" collapsed="false">
      <c r="A992" s="34" t="n">
        <v>46268</v>
      </c>
      <c r="B992" s="28" t="s">
        <v>124</v>
      </c>
      <c r="C992" s="35" t="n">
        <v>8776</v>
      </c>
      <c r="D992" s="35" t="n">
        <v>203</v>
      </c>
      <c r="E992" s="35" t="n">
        <v>10</v>
      </c>
      <c r="F992" s="35" t="n">
        <v>6</v>
      </c>
      <c r="G992" s="35" t="n">
        <v>16190</v>
      </c>
      <c r="H992" s="35" t="n">
        <v>2828</v>
      </c>
      <c r="I992" s="28" t="str">
        <f aca="false">INDEX(Campaigns!$C$2:$C$31,MATCH(B992,Campaigns!$A$2:$A$31,0))</f>
        <v>Email</v>
      </c>
      <c r="J992" s="40" t="n">
        <f aca="false">DATE(YEAR(A992),MONTH(A992),1)</f>
        <v>46266</v>
      </c>
    </row>
    <row r="993" customFormat="false" ht="15" hidden="false" customHeight="false" outlineLevel="0" collapsed="false">
      <c r="A993" s="34" t="n">
        <v>46268</v>
      </c>
      <c r="B993" s="28" t="s">
        <v>130</v>
      </c>
      <c r="C993" s="35" t="n">
        <v>2732</v>
      </c>
      <c r="D993" s="35" t="n">
        <v>236</v>
      </c>
      <c r="E993" s="35" t="n">
        <v>9</v>
      </c>
      <c r="F993" s="35" t="n">
        <v>22</v>
      </c>
      <c r="G993" s="35" t="n">
        <v>64130</v>
      </c>
      <c r="H993" s="35" t="n">
        <v>4091</v>
      </c>
      <c r="I993" s="28" t="str">
        <f aca="false">INDEX(Campaigns!$C$2:$C$31,MATCH(B993,Campaigns!$A$2:$A$31,0))</f>
        <v>WhatsApp Broadcast</v>
      </c>
      <c r="J993" s="40" t="n">
        <f aca="false">DATE(YEAR(A993),MONTH(A993),1)</f>
        <v>46266</v>
      </c>
    </row>
    <row r="994" customFormat="false" ht="15" hidden="false" customHeight="false" outlineLevel="0" collapsed="false">
      <c r="A994" s="34" t="n">
        <v>46268</v>
      </c>
      <c r="B994" s="28" t="s">
        <v>132</v>
      </c>
      <c r="C994" s="35" t="n">
        <v>38216</v>
      </c>
      <c r="D994" s="35" t="n">
        <v>510</v>
      </c>
      <c r="E994" s="35" t="n">
        <v>64</v>
      </c>
      <c r="F994" s="35" t="n">
        <v>2</v>
      </c>
      <c r="G994" s="35" t="n">
        <v>6600</v>
      </c>
      <c r="H994" s="35" t="n">
        <v>8819</v>
      </c>
      <c r="I994" s="28" t="str">
        <f aca="false">INDEX(Campaigns!$C$2:$C$31,MATCH(B994,Campaigns!$A$2:$A$31,0))</f>
        <v>Facebook &amp; Instagram Ads</v>
      </c>
      <c r="J994" s="40" t="n">
        <f aca="false">DATE(YEAR(A994),MONTH(A994),1)</f>
        <v>46266</v>
      </c>
    </row>
    <row r="995" customFormat="false" ht="15" hidden="false" customHeight="false" outlineLevel="0" collapsed="false">
      <c r="A995" s="34" t="n">
        <v>46268</v>
      </c>
      <c r="B995" s="28" t="s">
        <v>138</v>
      </c>
      <c r="C995" s="35" t="n">
        <v>4027</v>
      </c>
      <c r="D995" s="35" t="n">
        <v>177</v>
      </c>
      <c r="E995" s="35" t="n">
        <v>7</v>
      </c>
      <c r="F995" s="35" t="n">
        <v>4</v>
      </c>
      <c r="G995" s="35" t="n">
        <v>11840</v>
      </c>
      <c r="H995" s="35" t="n">
        <v>5171</v>
      </c>
      <c r="I995" s="28" t="str">
        <f aca="false">INDEX(Campaigns!$C$2:$C$31,MATCH(B995,Campaigns!$A$2:$A$31,0))</f>
        <v>WhatsApp Broadcast</v>
      </c>
      <c r="J995" s="40" t="n">
        <f aca="false">DATE(YEAR(A995),MONTH(A995),1)</f>
        <v>46266</v>
      </c>
    </row>
    <row r="996" customFormat="false" ht="15" hidden="false" customHeight="false" outlineLevel="0" collapsed="false">
      <c r="A996" s="34" t="n">
        <v>46268</v>
      </c>
      <c r="B996" s="28" t="s">
        <v>139</v>
      </c>
      <c r="C996" s="35" t="n">
        <v>13696</v>
      </c>
      <c r="D996" s="35" t="n">
        <v>128</v>
      </c>
      <c r="E996" s="35" t="n">
        <v>4</v>
      </c>
      <c r="F996" s="35" t="n">
        <v>3</v>
      </c>
      <c r="G996" s="35" t="n">
        <v>8310</v>
      </c>
      <c r="H996" s="35" t="n">
        <v>2502</v>
      </c>
      <c r="I996" s="28" t="str">
        <f aca="false">INDEX(Campaigns!$C$2:$C$31,MATCH(B996,Campaigns!$A$2:$A$31,0))</f>
        <v>TikTok Ads</v>
      </c>
      <c r="J996" s="40" t="n">
        <f aca="false">DATE(YEAR(A996),MONTH(A996),1)</f>
        <v>46266</v>
      </c>
    </row>
    <row r="997" customFormat="false" ht="15" hidden="false" customHeight="false" outlineLevel="0" collapsed="false">
      <c r="A997" s="34" t="n">
        <v>46268</v>
      </c>
      <c r="B997" s="28" t="s">
        <v>141</v>
      </c>
      <c r="C997" s="35" t="n">
        <v>6585</v>
      </c>
      <c r="D997" s="35" t="n">
        <v>211</v>
      </c>
      <c r="E997" s="35" t="n">
        <v>18</v>
      </c>
      <c r="F997" s="35" t="n">
        <v>10</v>
      </c>
      <c r="G997" s="35" t="n">
        <v>28810</v>
      </c>
      <c r="H997" s="35" t="n">
        <v>2289</v>
      </c>
      <c r="I997" s="28" t="str">
        <f aca="false">INDEX(Campaigns!$C$2:$C$31,MATCH(B997,Campaigns!$A$2:$A$31,0))</f>
        <v>Email</v>
      </c>
      <c r="J997" s="40" t="n">
        <f aca="false">DATE(YEAR(A997),MONTH(A997),1)</f>
        <v>46266</v>
      </c>
    </row>
    <row r="998" customFormat="false" ht="15" hidden="false" customHeight="false" outlineLevel="0" collapsed="false">
      <c r="A998" s="34" t="n">
        <v>46268</v>
      </c>
      <c r="B998" s="28" t="s">
        <v>143</v>
      </c>
      <c r="C998" s="35" t="n">
        <v>26035</v>
      </c>
      <c r="D998" s="35" t="n">
        <v>1287</v>
      </c>
      <c r="E998" s="35" t="n">
        <v>47</v>
      </c>
      <c r="F998" s="35" t="n">
        <v>63</v>
      </c>
      <c r="G998" s="35" t="n">
        <v>235060</v>
      </c>
      <c r="H998" s="35" t="n">
        <v>22748</v>
      </c>
      <c r="I998" s="28" t="str">
        <f aca="false">INDEX(Campaigns!$C$2:$C$31,MATCH(B998,Campaigns!$A$2:$A$31,0))</f>
        <v>Google Search Ads</v>
      </c>
      <c r="J998" s="40" t="n">
        <f aca="false">DATE(YEAR(A998),MONTH(A998),1)</f>
        <v>46266</v>
      </c>
    </row>
    <row r="999" customFormat="false" ht="15" hidden="false" customHeight="false" outlineLevel="0" collapsed="false">
      <c r="A999" s="34" t="n">
        <v>46268</v>
      </c>
      <c r="B999" s="28" t="s">
        <v>147</v>
      </c>
      <c r="C999" s="35" t="n">
        <v>27349</v>
      </c>
      <c r="D999" s="35" t="n">
        <v>370</v>
      </c>
      <c r="E999" s="35" t="n">
        <v>7</v>
      </c>
      <c r="F999" s="35" t="n">
        <v>0</v>
      </c>
      <c r="G999" s="35" t="n">
        <v>0</v>
      </c>
      <c r="H999" s="35" t="n">
        <v>6475</v>
      </c>
      <c r="I999" s="28" t="str">
        <f aca="false">INDEX(Campaigns!$C$2:$C$31,MATCH(B999,Campaigns!$A$2:$A$31,0))</f>
        <v>Facebook &amp; Instagram Ads</v>
      </c>
      <c r="J999" s="40" t="n">
        <f aca="false">DATE(YEAR(A999),MONTH(A999),1)</f>
        <v>46266</v>
      </c>
    </row>
    <row r="1000" customFormat="false" ht="15" hidden="false" customHeight="false" outlineLevel="0" collapsed="false">
      <c r="A1000" s="34" t="n">
        <v>46268</v>
      </c>
      <c r="B1000" s="28" t="s">
        <v>154</v>
      </c>
      <c r="C1000" s="35" t="n">
        <v>5483</v>
      </c>
      <c r="D1000" s="35" t="n">
        <v>48</v>
      </c>
      <c r="E1000" s="35" t="n">
        <v>1</v>
      </c>
      <c r="F1000" s="35" t="n">
        <v>2</v>
      </c>
      <c r="G1000" s="35" t="n">
        <v>6180</v>
      </c>
      <c r="H1000" s="35" t="n">
        <v>3264</v>
      </c>
      <c r="I1000" s="28" t="str">
        <f aca="false">INDEX(Campaigns!$C$2:$C$31,MATCH(B1000,Campaigns!$A$2:$A$31,0))</f>
        <v>Influencer Partnerships</v>
      </c>
      <c r="J1000" s="40" t="n">
        <f aca="false">DATE(YEAR(A1000),MONTH(A1000),1)</f>
        <v>46266</v>
      </c>
    </row>
    <row r="1001" customFormat="false" ht="15" hidden="false" customHeight="false" outlineLevel="0" collapsed="false">
      <c r="A1001" s="34" t="n">
        <v>46268</v>
      </c>
      <c r="B1001" s="28" t="s">
        <v>156</v>
      </c>
      <c r="C1001" s="35" t="n">
        <v>46110</v>
      </c>
      <c r="D1001" s="35" t="n">
        <v>418</v>
      </c>
      <c r="E1001" s="35" t="n">
        <v>57</v>
      </c>
      <c r="F1001" s="35" t="n">
        <v>7</v>
      </c>
      <c r="G1001" s="35" t="n">
        <v>24050</v>
      </c>
      <c r="H1001" s="35" t="n">
        <v>8528</v>
      </c>
      <c r="I1001" s="28" t="str">
        <f aca="false">INDEX(Campaigns!$C$2:$C$31,MATCH(B1001,Campaigns!$A$2:$A$31,0))</f>
        <v>TikTok Ads</v>
      </c>
      <c r="J1001" s="40" t="n">
        <f aca="false">DATE(YEAR(A1001),MONTH(A1001),1)</f>
        <v>46266</v>
      </c>
    </row>
    <row r="1002" customFormat="false" ht="15" hidden="false" customHeight="false" outlineLevel="0" collapsed="false">
      <c r="A1002" s="34" t="n">
        <v>46268</v>
      </c>
      <c r="B1002" s="28" t="s">
        <v>158</v>
      </c>
      <c r="C1002" s="35" t="n">
        <v>17576</v>
      </c>
      <c r="D1002" s="35" t="n">
        <v>178</v>
      </c>
      <c r="E1002" s="35" t="n">
        <v>30</v>
      </c>
      <c r="F1002" s="35" t="n">
        <v>4</v>
      </c>
      <c r="G1002" s="35" t="n">
        <v>17010</v>
      </c>
      <c r="H1002" s="35" t="n">
        <v>11458</v>
      </c>
      <c r="I1002" s="28" t="str">
        <f aca="false">INDEX(Campaigns!$C$2:$C$31,MATCH(B1002,Campaigns!$A$2:$A$31,0))</f>
        <v>Influencer Partnerships</v>
      </c>
      <c r="J1002" s="40" t="n">
        <f aca="false">DATE(YEAR(A1002),MONTH(A1002),1)</f>
        <v>46266</v>
      </c>
    </row>
    <row r="1003" customFormat="false" ht="15" hidden="false" customHeight="false" outlineLevel="0" collapsed="false">
      <c r="A1003" s="34" t="n">
        <v>46268</v>
      </c>
      <c r="B1003" s="28" t="s">
        <v>159</v>
      </c>
      <c r="C1003" s="35" t="n">
        <v>28252</v>
      </c>
      <c r="D1003" s="35" t="n">
        <v>404</v>
      </c>
      <c r="E1003" s="35" t="n">
        <v>57</v>
      </c>
      <c r="F1003" s="35" t="n">
        <v>6</v>
      </c>
      <c r="G1003" s="35" t="n">
        <v>17990</v>
      </c>
      <c r="H1003" s="35" t="n">
        <v>6676</v>
      </c>
      <c r="I1003" s="28" t="str">
        <f aca="false">INDEX(Campaigns!$C$2:$C$31,MATCH(B1003,Campaigns!$A$2:$A$31,0))</f>
        <v>Facebook &amp; Instagram Ads</v>
      </c>
      <c r="J1003" s="40" t="n">
        <f aca="false">DATE(YEAR(A1003),MONTH(A1003),1)</f>
        <v>46266</v>
      </c>
    </row>
    <row r="1004" customFormat="false" ht="15" hidden="false" customHeight="false" outlineLevel="0" collapsed="false">
      <c r="A1004" s="34" t="n">
        <v>46268</v>
      </c>
      <c r="B1004" s="28" t="s">
        <v>161</v>
      </c>
      <c r="C1004" s="35" t="n">
        <v>48010</v>
      </c>
      <c r="D1004" s="35" t="n">
        <v>638</v>
      </c>
      <c r="E1004" s="35" t="n">
        <v>14</v>
      </c>
      <c r="F1004" s="35" t="n">
        <v>1</v>
      </c>
      <c r="G1004" s="35" t="n">
        <v>3970</v>
      </c>
      <c r="H1004" s="35" t="n">
        <v>11464</v>
      </c>
      <c r="I1004" s="28" t="str">
        <f aca="false">INDEX(Campaigns!$C$2:$C$31,MATCH(B1004,Campaigns!$A$2:$A$31,0))</f>
        <v>Facebook &amp; Instagram Ads</v>
      </c>
      <c r="J1004" s="40" t="n">
        <f aca="false">DATE(YEAR(A1004),MONTH(A1004),1)</f>
        <v>46266</v>
      </c>
    </row>
    <row r="1005" customFormat="false" ht="15" hidden="false" customHeight="false" outlineLevel="0" collapsed="false">
      <c r="A1005" s="34" t="n">
        <v>46268</v>
      </c>
      <c r="B1005" s="28" t="s">
        <v>163</v>
      </c>
      <c r="C1005" s="35" t="n">
        <v>1334</v>
      </c>
      <c r="D1005" s="35" t="n">
        <v>48</v>
      </c>
      <c r="E1005" s="35" t="n">
        <v>2</v>
      </c>
      <c r="F1005" s="35" t="n">
        <v>2</v>
      </c>
      <c r="G1005" s="35" t="n">
        <v>7260</v>
      </c>
      <c r="H1005" s="35" t="n">
        <v>463</v>
      </c>
      <c r="I1005" s="28" t="str">
        <f aca="false">INDEX(Campaigns!$C$2:$C$31,MATCH(B1005,Campaigns!$A$2:$A$31,0))</f>
        <v>Email</v>
      </c>
      <c r="J1005" s="40" t="n">
        <f aca="false">DATE(YEAR(A1005),MONTH(A1005),1)</f>
        <v>46266</v>
      </c>
    </row>
    <row r="1006" customFormat="false" ht="15" hidden="false" customHeight="false" outlineLevel="0" collapsed="false">
      <c r="A1006" s="34" t="n">
        <v>46269</v>
      </c>
      <c r="B1006" s="28" t="s">
        <v>105</v>
      </c>
      <c r="C1006" s="35" t="n">
        <v>5140</v>
      </c>
      <c r="D1006" s="35" t="n">
        <v>185</v>
      </c>
      <c r="E1006" s="35" t="n">
        <v>12</v>
      </c>
      <c r="F1006" s="35" t="n">
        <v>5</v>
      </c>
      <c r="G1006" s="35" t="n">
        <v>17900</v>
      </c>
      <c r="H1006" s="35" t="n">
        <v>5027</v>
      </c>
      <c r="I1006" s="28" t="str">
        <f aca="false">INDEX(Campaigns!$C$2:$C$31,MATCH(B1006,Campaigns!$A$2:$A$31,0))</f>
        <v>Google Search Ads</v>
      </c>
      <c r="J1006" s="40" t="n">
        <f aca="false">DATE(YEAR(A1006),MONTH(A1006),1)</f>
        <v>46266</v>
      </c>
    </row>
    <row r="1007" customFormat="false" ht="15" hidden="false" customHeight="false" outlineLevel="0" collapsed="false">
      <c r="A1007" s="34" t="n">
        <v>46269</v>
      </c>
      <c r="B1007" s="28" t="s">
        <v>108</v>
      </c>
      <c r="C1007" s="35" t="n">
        <v>7062</v>
      </c>
      <c r="D1007" s="35" t="n">
        <v>202</v>
      </c>
      <c r="E1007" s="35" t="n">
        <v>10</v>
      </c>
      <c r="F1007" s="35" t="n">
        <v>15</v>
      </c>
      <c r="G1007" s="35" t="n">
        <v>44430</v>
      </c>
      <c r="H1007" s="35" t="n">
        <v>2324</v>
      </c>
      <c r="I1007" s="28" t="str">
        <f aca="false">INDEX(Campaigns!$C$2:$C$31,MATCH(B1007,Campaigns!$A$2:$A$31,0))</f>
        <v>Email</v>
      </c>
      <c r="J1007" s="40" t="n">
        <f aca="false">DATE(YEAR(A1007),MONTH(A1007),1)</f>
        <v>46266</v>
      </c>
    </row>
    <row r="1008" customFormat="false" ht="15" hidden="false" customHeight="false" outlineLevel="0" collapsed="false">
      <c r="A1008" s="34" t="n">
        <v>46269</v>
      </c>
      <c r="B1008" s="28" t="s">
        <v>110</v>
      </c>
      <c r="C1008" s="35" t="n">
        <v>12725</v>
      </c>
      <c r="D1008" s="35" t="n">
        <v>112</v>
      </c>
      <c r="E1008" s="35" t="n">
        <v>11</v>
      </c>
      <c r="F1008" s="35" t="n">
        <v>2</v>
      </c>
      <c r="G1008" s="35" t="n">
        <v>5970</v>
      </c>
      <c r="H1008" s="35" t="n">
        <v>8353</v>
      </c>
      <c r="I1008" s="28" t="str">
        <f aca="false">INDEX(Campaigns!$C$2:$C$31,MATCH(B1008,Campaigns!$A$2:$A$31,0))</f>
        <v>Influencer Partnerships</v>
      </c>
      <c r="J1008" s="40" t="n">
        <f aca="false">DATE(YEAR(A1008),MONTH(A1008),1)</f>
        <v>46266</v>
      </c>
    </row>
    <row r="1009" customFormat="false" ht="15" hidden="false" customHeight="false" outlineLevel="0" collapsed="false">
      <c r="A1009" s="34" t="n">
        <v>46269</v>
      </c>
      <c r="B1009" s="28" t="s">
        <v>114</v>
      </c>
      <c r="C1009" s="35" t="n">
        <v>737</v>
      </c>
      <c r="D1009" s="35" t="n">
        <v>38</v>
      </c>
      <c r="E1009" s="35" t="n">
        <v>0</v>
      </c>
      <c r="F1009" s="35" t="n">
        <v>1</v>
      </c>
      <c r="G1009" s="35" t="n">
        <v>3010</v>
      </c>
      <c r="H1009" s="35" t="n">
        <v>1127</v>
      </c>
      <c r="I1009" s="28" t="str">
        <f aca="false">INDEX(Campaigns!$C$2:$C$31,MATCH(B1009,Campaigns!$A$2:$A$31,0))</f>
        <v>WhatsApp Broadcast</v>
      </c>
      <c r="J1009" s="40" t="n">
        <f aca="false">DATE(YEAR(A1009),MONTH(A1009),1)</f>
        <v>46266</v>
      </c>
    </row>
    <row r="1010" customFormat="false" ht="15" hidden="false" customHeight="false" outlineLevel="0" collapsed="false">
      <c r="A1010" s="34" t="n">
        <v>46269</v>
      </c>
      <c r="B1010" s="28" t="s">
        <v>116</v>
      </c>
      <c r="C1010" s="35" t="n">
        <v>22620</v>
      </c>
      <c r="D1010" s="35" t="n">
        <v>282</v>
      </c>
      <c r="E1010" s="35" t="n">
        <v>13</v>
      </c>
      <c r="F1010" s="35" t="n">
        <v>4</v>
      </c>
      <c r="G1010" s="35" t="n">
        <v>13210</v>
      </c>
      <c r="H1010" s="35" t="n">
        <v>5748</v>
      </c>
      <c r="I1010" s="28" t="str">
        <f aca="false">INDEX(Campaigns!$C$2:$C$31,MATCH(B1010,Campaigns!$A$2:$A$31,0))</f>
        <v>Facebook &amp; Instagram Ads</v>
      </c>
      <c r="J1010" s="40" t="n">
        <f aca="false">DATE(YEAR(A1010),MONTH(A1010),1)</f>
        <v>46266</v>
      </c>
    </row>
    <row r="1011" customFormat="false" ht="15" hidden="false" customHeight="false" outlineLevel="0" collapsed="false">
      <c r="A1011" s="34" t="n">
        <v>46269</v>
      </c>
      <c r="B1011" s="28" t="s">
        <v>124</v>
      </c>
      <c r="C1011" s="35" t="n">
        <v>8021</v>
      </c>
      <c r="D1011" s="35" t="n">
        <v>171</v>
      </c>
      <c r="E1011" s="35" t="n">
        <v>10</v>
      </c>
      <c r="F1011" s="35" t="n">
        <v>0</v>
      </c>
      <c r="G1011" s="35" t="n">
        <v>0</v>
      </c>
      <c r="H1011" s="35" t="n">
        <v>2593</v>
      </c>
      <c r="I1011" s="28" t="str">
        <f aca="false">INDEX(Campaigns!$C$2:$C$31,MATCH(B1011,Campaigns!$A$2:$A$31,0))</f>
        <v>Email</v>
      </c>
      <c r="J1011" s="40" t="n">
        <f aca="false">DATE(YEAR(A1011),MONTH(A1011),1)</f>
        <v>46266</v>
      </c>
    </row>
    <row r="1012" customFormat="false" ht="15" hidden="false" customHeight="false" outlineLevel="0" collapsed="false">
      <c r="A1012" s="34" t="n">
        <v>46269</v>
      </c>
      <c r="B1012" s="28" t="s">
        <v>130</v>
      </c>
      <c r="C1012" s="35" t="n">
        <v>2917</v>
      </c>
      <c r="D1012" s="35" t="n">
        <v>250</v>
      </c>
      <c r="E1012" s="35" t="n">
        <v>11</v>
      </c>
      <c r="F1012" s="35" t="n">
        <v>32</v>
      </c>
      <c r="G1012" s="35" t="n">
        <v>88730</v>
      </c>
      <c r="H1012" s="35" t="n">
        <v>4335</v>
      </c>
      <c r="I1012" s="28" t="str">
        <f aca="false">INDEX(Campaigns!$C$2:$C$31,MATCH(B1012,Campaigns!$A$2:$A$31,0))</f>
        <v>WhatsApp Broadcast</v>
      </c>
      <c r="J1012" s="40" t="n">
        <f aca="false">DATE(YEAR(A1012),MONTH(A1012),1)</f>
        <v>46266</v>
      </c>
    </row>
    <row r="1013" customFormat="false" ht="15" hidden="false" customHeight="false" outlineLevel="0" collapsed="false">
      <c r="A1013" s="34" t="n">
        <v>46269</v>
      </c>
      <c r="B1013" s="28" t="s">
        <v>132</v>
      </c>
      <c r="C1013" s="35" t="n">
        <v>43623</v>
      </c>
      <c r="D1013" s="35" t="n">
        <v>601</v>
      </c>
      <c r="E1013" s="35" t="n">
        <v>69</v>
      </c>
      <c r="F1013" s="35" t="n">
        <v>3</v>
      </c>
      <c r="G1013" s="35" t="n">
        <v>10220</v>
      </c>
      <c r="H1013" s="35" t="n">
        <v>10416</v>
      </c>
      <c r="I1013" s="28" t="str">
        <f aca="false">INDEX(Campaigns!$C$2:$C$31,MATCH(B1013,Campaigns!$A$2:$A$31,0))</f>
        <v>Facebook &amp; Instagram Ads</v>
      </c>
      <c r="J1013" s="40" t="n">
        <f aca="false">DATE(YEAR(A1013),MONTH(A1013),1)</f>
        <v>46266</v>
      </c>
    </row>
    <row r="1014" customFormat="false" ht="15" hidden="false" customHeight="false" outlineLevel="0" collapsed="false">
      <c r="A1014" s="34" t="n">
        <v>46269</v>
      </c>
      <c r="B1014" s="28" t="s">
        <v>138</v>
      </c>
      <c r="C1014" s="35" t="n">
        <v>3643</v>
      </c>
      <c r="D1014" s="35" t="n">
        <v>175</v>
      </c>
      <c r="E1014" s="35" t="n">
        <v>5</v>
      </c>
      <c r="F1014" s="35" t="n">
        <v>3</v>
      </c>
      <c r="G1014" s="35" t="n">
        <v>7550</v>
      </c>
      <c r="H1014" s="35" t="n">
        <v>5497</v>
      </c>
      <c r="I1014" s="28" t="str">
        <f aca="false">INDEX(Campaigns!$C$2:$C$31,MATCH(B1014,Campaigns!$A$2:$A$31,0))</f>
        <v>WhatsApp Broadcast</v>
      </c>
      <c r="J1014" s="40" t="n">
        <f aca="false">DATE(YEAR(A1014),MONTH(A1014),1)</f>
        <v>46266</v>
      </c>
    </row>
    <row r="1015" customFormat="false" ht="15" hidden="false" customHeight="false" outlineLevel="0" collapsed="false">
      <c r="A1015" s="34" t="n">
        <v>46269</v>
      </c>
      <c r="B1015" s="28" t="s">
        <v>139</v>
      </c>
      <c r="C1015" s="35" t="n">
        <v>17364</v>
      </c>
      <c r="D1015" s="35" t="n">
        <v>173</v>
      </c>
      <c r="E1015" s="35" t="n">
        <v>4</v>
      </c>
      <c r="F1015" s="35" t="n">
        <v>3</v>
      </c>
      <c r="G1015" s="35" t="n">
        <v>9590</v>
      </c>
      <c r="H1015" s="35" t="n">
        <v>3013</v>
      </c>
      <c r="I1015" s="28" t="str">
        <f aca="false">INDEX(Campaigns!$C$2:$C$31,MATCH(B1015,Campaigns!$A$2:$A$31,0))</f>
        <v>TikTok Ads</v>
      </c>
      <c r="J1015" s="40" t="n">
        <f aca="false">DATE(YEAR(A1015),MONTH(A1015),1)</f>
        <v>46266</v>
      </c>
    </row>
    <row r="1016" customFormat="false" ht="15" hidden="false" customHeight="false" outlineLevel="0" collapsed="false">
      <c r="A1016" s="34" t="n">
        <v>46269</v>
      </c>
      <c r="B1016" s="28" t="s">
        <v>141</v>
      </c>
      <c r="C1016" s="35" t="n">
        <v>7541</v>
      </c>
      <c r="D1016" s="35" t="n">
        <v>271</v>
      </c>
      <c r="E1016" s="35" t="n">
        <v>13</v>
      </c>
      <c r="F1016" s="35" t="n">
        <v>9</v>
      </c>
      <c r="G1016" s="35" t="n">
        <v>30200</v>
      </c>
      <c r="H1016" s="35" t="n">
        <v>2468</v>
      </c>
      <c r="I1016" s="28" t="str">
        <f aca="false">INDEX(Campaigns!$C$2:$C$31,MATCH(B1016,Campaigns!$A$2:$A$31,0))</f>
        <v>Email</v>
      </c>
      <c r="J1016" s="40" t="n">
        <f aca="false">DATE(YEAR(A1016),MONTH(A1016),1)</f>
        <v>46266</v>
      </c>
    </row>
    <row r="1017" customFormat="false" ht="15" hidden="false" customHeight="false" outlineLevel="0" collapsed="false">
      <c r="A1017" s="34" t="n">
        <v>46269</v>
      </c>
      <c r="B1017" s="28" t="s">
        <v>143</v>
      </c>
      <c r="C1017" s="35" t="n">
        <v>22288</v>
      </c>
      <c r="D1017" s="35" t="n">
        <v>1184</v>
      </c>
      <c r="E1017" s="35" t="n">
        <v>38</v>
      </c>
      <c r="F1017" s="35" t="n">
        <v>55</v>
      </c>
      <c r="G1017" s="35" t="n">
        <v>200250</v>
      </c>
      <c r="H1017" s="35" t="n">
        <v>21405</v>
      </c>
      <c r="I1017" s="28" t="str">
        <f aca="false">INDEX(Campaigns!$C$2:$C$31,MATCH(B1017,Campaigns!$A$2:$A$31,0))</f>
        <v>Google Search Ads</v>
      </c>
      <c r="J1017" s="40" t="n">
        <f aca="false">DATE(YEAR(A1017),MONTH(A1017),1)</f>
        <v>46266</v>
      </c>
    </row>
    <row r="1018" customFormat="false" ht="15" hidden="false" customHeight="false" outlineLevel="0" collapsed="false">
      <c r="A1018" s="34" t="n">
        <v>46269</v>
      </c>
      <c r="B1018" s="28" t="s">
        <v>147</v>
      </c>
      <c r="C1018" s="35" t="n">
        <v>29921</v>
      </c>
      <c r="D1018" s="35" t="n">
        <v>384</v>
      </c>
      <c r="E1018" s="35" t="n">
        <v>8</v>
      </c>
      <c r="F1018" s="35" t="n">
        <v>0</v>
      </c>
      <c r="G1018" s="35" t="n">
        <v>0</v>
      </c>
      <c r="H1018" s="35" t="n">
        <v>7137</v>
      </c>
      <c r="I1018" s="28" t="str">
        <f aca="false">INDEX(Campaigns!$C$2:$C$31,MATCH(B1018,Campaigns!$A$2:$A$31,0))</f>
        <v>Facebook &amp; Instagram Ads</v>
      </c>
      <c r="J1018" s="40" t="n">
        <f aca="false">DATE(YEAR(A1018),MONTH(A1018),1)</f>
        <v>46266</v>
      </c>
    </row>
    <row r="1019" customFormat="false" ht="15" hidden="false" customHeight="false" outlineLevel="0" collapsed="false">
      <c r="A1019" s="34" t="n">
        <v>46269</v>
      </c>
      <c r="B1019" s="28" t="s">
        <v>152</v>
      </c>
      <c r="C1019" s="35" t="n">
        <v>7708</v>
      </c>
      <c r="D1019" s="35" t="n">
        <v>66</v>
      </c>
      <c r="E1019" s="35" t="n">
        <v>3</v>
      </c>
      <c r="F1019" s="35" t="n">
        <v>0</v>
      </c>
      <c r="G1019" s="35" t="n">
        <v>0</v>
      </c>
      <c r="H1019" s="35" t="n">
        <v>4514</v>
      </c>
      <c r="I1019" s="28" t="str">
        <f aca="false">INDEX(Campaigns!$C$2:$C$31,MATCH(B1019,Campaigns!$A$2:$A$31,0))</f>
        <v>Influencer Partnerships</v>
      </c>
      <c r="J1019" s="40" t="n">
        <f aca="false">DATE(YEAR(A1019),MONTH(A1019),1)</f>
        <v>46266</v>
      </c>
    </row>
    <row r="1020" customFormat="false" ht="15" hidden="false" customHeight="false" outlineLevel="0" collapsed="false">
      <c r="A1020" s="34" t="n">
        <v>46269</v>
      </c>
      <c r="B1020" s="28" t="s">
        <v>154</v>
      </c>
      <c r="C1020" s="35" t="n">
        <v>5457</v>
      </c>
      <c r="D1020" s="35" t="n">
        <v>46</v>
      </c>
      <c r="E1020" s="35" t="n">
        <v>1</v>
      </c>
      <c r="F1020" s="35" t="n">
        <v>0</v>
      </c>
      <c r="G1020" s="35" t="n">
        <v>0</v>
      </c>
      <c r="H1020" s="35" t="n">
        <v>3600</v>
      </c>
      <c r="I1020" s="28" t="str">
        <f aca="false">INDEX(Campaigns!$C$2:$C$31,MATCH(B1020,Campaigns!$A$2:$A$31,0))</f>
        <v>Influencer Partnerships</v>
      </c>
      <c r="J1020" s="40" t="n">
        <f aca="false">DATE(YEAR(A1020),MONTH(A1020),1)</f>
        <v>46266</v>
      </c>
    </row>
    <row r="1021" customFormat="false" ht="15" hidden="false" customHeight="false" outlineLevel="0" collapsed="false">
      <c r="A1021" s="34" t="n">
        <v>46269</v>
      </c>
      <c r="B1021" s="28" t="s">
        <v>156</v>
      </c>
      <c r="C1021" s="35" t="n">
        <v>49557</v>
      </c>
      <c r="D1021" s="35" t="n">
        <v>444</v>
      </c>
      <c r="E1021" s="35" t="n">
        <v>59</v>
      </c>
      <c r="F1021" s="35" t="n">
        <v>5</v>
      </c>
      <c r="G1021" s="35" t="n">
        <v>14660</v>
      </c>
      <c r="H1021" s="35" t="n">
        <v>8696</v>
      </c>
      <c r="I1021" s="28" t="str">
        <f aca="false">INDEX(Campaigns!$C$2:$C$31,MATCH(B1021,Campaigns!$A$2:$A$31,0))</f>
        <v>TikTok Ads</v>
      </c>
      <c r="J1021" s="40" t="n">
        <f aca="false">DATE(YEAR(A1021),MONTH(A1021),1)</f>
        <v>46266</v>
      </c>
    </row>
    <row r="1022" customFormat="false" ht="15" hidden="false" customHeight="false" outlineLevel="0" collapsed="false">
      <c r="A1022" s="34" t="n">
        <v>46269</v>
      </c>
      <c r="B1022" s="28" t="s">
        <v>158</v>
      </c>
      <c r="C1022" s="35" t="n">
        <v>17324</v>
      </c>
      <c r="D1022" s="35" t="n">
        <v>165</v>
      </c>
      <c r="E1022" s="35" t="n">
        <v>22</v>
      </c>
      <c r="F1022" s="35" t="n">
        <v>5</v>
      </c>
      <c r="G1022" s="35" t="n">
        <v>18210</v>
      </c>
      <c r="H1022" s="35" t="n">
        <v>10148</v>
      </c>
      <c r="I1022" s="28" t="str">
        <f aca="false">INDEX(Campaigns!$C$2:$C$31,MATCH(B1022,Campaigns!$A$2:$A$31,0))</f>
        <v>Influencer Partnerships</v>
      </c>
      <c r="J1022" s="40" t="n">
        <f aca="false">DATE(YEAR(A1022),MONTH(A1022),1)</f>
        <v>46266</v>
      </c>
    </row>
    <row r="1023" customFormat="false" ht="15" hidden="false" customHeight="false" outlineLevel="0" collapsed="false">
      <c r="A1023" s="34" t="n">
        <v>46269</v>
      </c>
      <c r="B1023" s="28" t="s">
        <v>159</v>
      </c>
      <c r="C1023" s="35" t="n">
        <v>32448</v>
      </c>
      <c r="D1023" s="35" t="n">
        <v>496</v>
      </c>
      <c r="E1023" s="35" t="n">
        <v>68</v>
      </c>
      <c r="F1023" s="35" t="n">
        <v>10</v>
      </c>
      <c r="G1023" s="35" t="n">
        <v>29980</v>
      </c>
      <c r="H1023" s="35" t="n">
        <v>7887</v>
      </c>
      <c r="I1023" s="28" t="str">
        <f aca="false">INDEX(Campaigns!$C$2:$C$31,MATCH(B1023,Campaigns!$A$2:$A$31,0))</f>
        <v>Facebook &amp; Instagram Ads</v>
      </c>
      <c r="J1023" s="40" t="n">
        <f aca="false">DATE(YEAR(A1023),MONTH(A1023),1)</f>
        <v>46266</v>
      </c>
    </row>
    <row r="1024" customFormat="false" ht="15" hidden="false" customHeight="false" outlineLevel="0" collapsed="false">
      <c r="A1024" s="34" t="n">
        <v>46269</v>
      </c>
      <c r="B1024" s="28" t="s">
        <v>161</v>
      </c>
      <c r="C1024" s="35" t="n">
        <v>45618</v>
      </c>
      <c r="D1024" s="35" t="n">
        <v>582</v>
      </c>
      <c r="E1024" s="35" t="n">
        <v>17</v>
      </c>
      <c r="F1024" s="35" t="n">
        <v>1</v>
      </c>
      <c r="G1024" s="35" t="n">
        <v>2570</v>
      </c>
      <c r="H1024" s="35" t="n">
        <v>10725</v>
      </c>
      <c r="I1024" s="28" t="str">
        <f aca="false">INDEX(Campaigns!$C$2:$C$31,MATCH(B1024,Campaigns!$A$2:$A$31,0))</f>
        <v>Facebook &amp; Instagram Ads</v>
      </c>
      <c r="J1024" s="40" t="n">
        <f aca="false">DATE(YEAR(A1024),MONTH(A1024),1)</f>
        <v>46266</v>
      </c>
    </row>
    <row r="1025" customFormat="false" ht="15" hidden="false" customHeight="false" outlineLevel="0" collapsed="false">
      <c r="A1025" s="34" t="n">
        <v>46269</v>
      </c>
      <c r="B1025" s="28" t="s">
        <v>163</v>
      </c>
      <c r="C1025" s="35" t="n">
        <v>1581</v>
      </c>
      <c r="D1025" s="35" t="n">
        <v>44</v>
      </c>
      <c r="E1025" s="35" t="n">
        <v>0</v>
      </c>
      <c r="F1025" s="35" t="n">
        <v>3</v>
      </c>
      <c r="G1025" s="35" t="n">
        <v>8200</v>
      </c>
      <c r="H1025" s="35" t="n">
        <v>582</v>
      </c>
      <c r="I1025" s="28" t="str">
        <f aca="false">INDEX(Campaigns!$C$2:$C$31,MATCH(B1025,Campaigns!$A$2:$A$31,0))</f>
        <v>Email</v>
      </c>
      <c r="J1025" s="40" t="n">
        <f aca="false">DATE(YEAR(A1025),MONTH(A1025),1)</f>
        <v>46266</v>
      </c>
    </row>
    <row r="1026" customFormat="false" ht="15" hidden="false" customHeight="false" outlineLevel="0" collapsed="false">
      <c r="A1026" s="34" t="n">
        <v>46270</v>
      </c>
      <c r="B1026" s="28" t="s">
        <v>105</v>
      </c>
      <c r="C1026" s="35" t="n">
        <v>5943</v>
      </c>
      <c r="D1026" s="35" t="n">
        <v>227</v>
      </c>
      <c r="E1026" s="35" t="n">
        <v>7</v>
      </c>
      <c r="F1026" s="35" t="n">
        <v>9</v>
      </c>
      <c r="G1026" s="35" t="n">
        <v>32190</v>
      </c>
      <c r="H1026" s="35" t="n">
        <v>5256</v>
      </c>
      <c r="I1026" s="28" t="str">
        <f aca="false">INDEX(Campaigns!$C$2:$C$31,MATCH(B1026,Campaigns!$A$2:$A$31,0))</f>
        <v>Google Search Ads</v>
      </c>
      <c r="J1026" s="40" t="n">
        <f aca="false">DATE(YEAR(A1026),MONTH(A1026),1)</f>
        <v>46266</v>
      </c>
    </row>
    <row r="1027" customFormat="false" ht="15" hidden="false" customHeight="false" outlineLevel="0" collapsed="false">
      <c r="A1027" s="34" t="n">
        <v>46270</v>
      </c>
      <c r="B1027" s="28" t="s">
        <v>108</v>
      </c>
      <c r="C1027" s="35" t="n">
        <v>8679</v>
      </c>
      <c r="D1027" s="35" t="n">
        <v>307</v>
      </c>
      <c r="E1027" s="35" t="n">
        <v>11</v>
      </c>
      <c r="F1027" s="35" t="n">
        <v>13</v>
      </c>
      <c r="G1027" s="35" t="n">
        <v>40440</v>
      </c>
      <c r="H1027" s="35" t="n">
        <v>2863</v>
      </c>
      <c r="I1027" s="28" t="str">
        <f aca="false">INDEX(Campaigns!$C$2:$C$31,MATCH(B1027,Campaigns!$A$2:$A$31,0))</f>
        <v>Email</v>
      </c>
      <c r="J1027" s="40" t="n">
        <f aca="false">DATE(YEAR(A1027),MONTH(A1027),1)</f>
        <v>46266</v>
      </c>
    </row>
    <row r="1028" customFormat="false" ht="15" hidden="false" customHeight="false" outlineLevel="0" collapsed="false">
      <c r="A1028" s="34" t="n">
        <v>46270</v>
      </c>
      <c r="B1028" s="28" t="s">
        <v>110</v>
      </c>
      <c r="C1028" s="35" t="n">
        <v>16736</v>
      </c>
      <c r="D1028" s="35" t="n">
        <v>168</v>
      </c>
      <c r="E1028" s="35" t="n">
        <v>26</v>
      </c>
      <c r="F1028" s="35" t="n">
        <v>0</v>
      </c>
      <c r="G1028" s="35" t="n">
        <v>0</v>
      </c>
      <c r="H1028" s="35" t="n">
        <v>9252</v>
      </c>
      <c r="I1028" s="28" t="str">
        <f aca="false">INDEX(Campaigns!$C$2:$C$31,MATCH(B1028,Campaigns!$A$2:$A$31,0))</f>
        <v>Influencer Partnerships</v>
      </c>
      <c r="J1028" s="40" t="n">
        <f aca="false">DATE(YEAR(A1028),MONTH(A1028),1)</f>
        <v>46266</v>
      </c>
    </row>
    <row r="1029" customFormat="false" ht="15" hidden="false" customHeight="false" outlineLevel="0" collapsed="false">
      <c r="A1029" s="34" t="n">
        <v>46270</v>
      </c>
      <c r="B1029" s="28" t="s">
        <v>114</v>
      </c>
      <c r="C1029" s="35" t="n">
        <v>757</v>
      </c>
      <c r="D1029" s="35" t="n">
        <v>41</v>
      </c>
      <c r="E1029" s="35" t="n">
        <v>1</v>
      </c>
      <c r="F1029" s="35" t="n">
        <v>2</v>
      </c>
      <c r="G1029" s="35" t="n">
        <v>5300</v>
      </c>
      <c r="H1029" s="35" t="n">
        <v>1153</v>
      </c>
      <c r="I1029" s="28" t="str">
        <f aca="false">INDEX(Campaigns!$C$2:$C$31,MATCH(B1029,Campaigns!$A$2:$A$31,0))</f>
        <v>WhatsApp Broadcast</v>
      </c>
      <c r="J1029" s="40" t="n">
        <f aca="false">DATE(YEAR(A1029),MONTH(A1029),1)</f>
        <v>46266</v>
      </c>
    </row>
    <row r="1030" customFormat="false" ht="15" hidden="false" customHeight="false" outlineLevel="0" collapsed="false">
      <c r="A1030" s="34" t="n">
        <v>46270</v>
      </c>
      <c r="B1030" s="28" t="s">
        <v>116</v>
      </c>
      <c r="C1030" s="35" t="n">
        <v>26528</v>
      </c>
      <c r="D1030" s="35" t="n">
        <v>307</v>
      </c>
      <c r="E1030" s="35" t="n">
        <v>14</v>
      </c>
      <c r="F1030" s="35" t="n">
        <v>1</v>
      </c>
      <c r="G1030" s="35" t="n">
        <v>1550</v>
      </c>
      <c r="H1030" s="35" t="n">
        <v>7083</v>
      </c>
      <c r="I1030" s="28" t="str">
        <f aca="false">INDEX(Campaigns!$C$2:$C$31,MATCH(B1030,Campaigns!$A$2:$A$31,0))</f>
        <v>Facebook &amp; Instagram Ads</v>
      </c>
      <c r="J1030" s="40" t="n">
        <f aca="false">DATE(YEAR(A1030),MONTH(A1030),1)</f>
        <v>46266</v>
      </c>
    </row>
    <row r="1031" customFormat="false" ht="15" hidden="false" customHeight="false" outlineLevel="0" collapsed="false">
      <c r="A1031" s="34" t="n">
        <v>46270</v>
      </c>
      <c r="B1031" s="28" t="s">
        <v>118</v>
      </c>
      <c r="C1031" s="35" t="n">
        <v>3502</v>
      </c>
      <c r="D1031" s="35" t="n">
        <v>168</v>
      </c>
      <c r="E1031" s="35" t="n">
        <v>6</v>
      </c>
      <c r="F1031" s="35" t="n">
        <v>3</v>
      </c>
      <c r="G1031" s="35" t="n">
        <v>13520</v>
      </c>
      <c r="H1031" s="35" t="n">
        <v>3164</v>
      </c>
      <c r="I1031" s="28" t="str">
        <f aca="false">INDEX(Campaigns!$C$2:$C$31,MATCH(B1031,Campaigns!$A$2:$A$31,0))</f>
        <v>Google Search Ads</v>
      </c>
      <c r="J1031" s="40" t="n">
        <f aca="false">DATE(YEAR(A1031),MONTH(A1031),1)</f>
        <v>46266</v>
      </c>
    </row>
    <row r="1032" customFormat="false" ht="15" hidden="false" customHeight="false" outlineLevel="0" collapsed="false">
      <c r="A1032" s="34" t="n">
        <v>46270</v>
      </c>
      <c r="B1032" s="28" t="s">
        <v>124</v>
      </c>
      <c r="C1032" s="35" t="n">
        <v>7291</v>
      </c>
      <c r="D1032" s="35" t="n">
        <v>167</v>
      </c>
      <c r="E1032" s="35" t="n">
        <v>5</v>
      </c>
      <c r="F1032" s="35" t="n">
        <v>4</v>
      </c>
      <c r="G1032" s="35" t="n">
        <v>12290</v>
      </c>
      <c r="H1032" s="35" t="n">
        <v>2766</v>
      </c>
      <c r="I1032" s="28" t="str">
        <f aca="false">INDEX(Campaigns!$C$2:$C$31,MATCH(B1032,Campaigns!$A$2:$A$31,0))</f>
        <v>Email</v>
      </c>
      <c r="J1032" s="40" t="n">
        <f aca="false">DATE(YEAR(A1032),MONTH(A1032),1)</f>
        <v>46266</v>
      </c>
    </row>
    <row r="1033" customFormat="false" ht="15" hidden="false" customHeight="false" outlineLevel="0" collapsed="false">
      <c r="A1033" s="34" t="n">
        <v>46270</v>
      </c>
      <c r="B1033" s="28" t="s">
        <v>130</v>
      </c>
      <c r="C1033" s="35" t="n">
        <v>3716</v>
      </c>
      <c r="D1033" s="35" t="n">
        <v>307</v>
      </c>
      <c r="E1033" s="35" t="n">
        <v>18</v>
      </c>
      <c r="F1033" s="35" t="n">
        <v>36</v>
      </c>
      <c r="G1033" s="35" t="n">
        <v>105620</v>
      </c>
      <c r="H1033" s="35" t="n">
        <v>4737</v>
      </c>
      <c r="I1033" s="28" t="str">
        <f aca="false">INDEX(Campaigns!$C$2:$C$31,MATCH(B1033,Campaigns!$A$2:$A$31,0))</f>
        <v>WhatsApp Broadcast</v>
      </c>
      <c r="J1033" s="40" t="n">
        <f aca="false">DATE(YEAR(A1033),MONTH(A1033),1)</f>
        <v>46266</v>
      </c>
    </row>
    <row r="1034" customFormat="false" ht="15" hidden="false" customHeight="false" outlineLevel="0" collapsed="false">
      <c r="A1034" s="34" t="n">
        <v>46270</v>
      </c>
      <c r="B1034" s="28" t="s">
        <v>132</v>
      </c>
      <c r="C1034" s="35" t="n">
        <v>35321</v>
      </c>
      <c r="D1034" s="35" t="n">
        <v>519</v>
      </c>
      <c r="E1034" s="35" t="n">
        <v>63</v>
      </c>
      <c r="F1034" s="35" t="n">
        <v>8</v>
      </c>
      <c r="G1034" s="35" t="n">
        <v>30600</v>
      </c>
      <c r="H1034" s="35" t="n">
        <v>8723</v>
      </c>
      <c r="I1034" s="28" t="str">
        <f aca="false">INDEX(Campaigns!$C$2:$C$31,MATCH(B1034,Campaigns!$A$2:$A$31,0))</f>
        <v>Facebook &amp; Instagram Ads</v>
      </c>
      <c r="J1034" s="40" t="n">
        <f aca="false">DATE(YEAR(A1034),MONTH(A1034),1)</f>
        <v>46266</v>
      </c>
    </row>
    <row r="1035" customFormat="false" ht="15" hidden="false" customHeight="false" outlineLevel="0" collapsed="false">
      <c r="A1035" s="34" t="n">
        <v>46270</v>
      </c>
      <c r="B1035" s="28" t="s">
        <v>138</v>
      </c>
      <c r="C1035" s="35" t="n">
        <v>4101</v>
      </c>
      <c r="D1035" s="35" t="n">
        <v>181</v>
      </c>
      <c r="E1035" s="35" t="n">
        <v>6</v>
      </c>
      <c r="F1035" s="35" t="n">
        <v>2</v>
      </c>
      <c r="G1035" s="35" t="n">
        <v>5820</v>
      </c>
      <c r="H1035" s="35" t="n">
        <v>5376</v>
      </c>
      <c r="I1035" s="28" t="str">
        <f aca="false">INDEX(Campaigns!$C$2:$C$31,MATCH(B1035,Campaigns!$A$2:$A$31,0))</f>
        <v>WhatsApp Broadcast</v>
      </c>
      <c r="J1035" s="40" t="n">
        <f aca="false">DATE(YEAR(A1035),MONTH(A1035),1)</f>
        <v>46266</v>
      </c>
    </row>
    <row r="1036" customFormat="false" ht="15" hidden="false" customHeight="false" outlineLevel="0" collapsed="false">
      <c r="A1036" s="34" t="n">
        <v>46270</v>
      </c>
      <c r="B1036" s="28" t="s">
        <v>139</v>
      </c>
      <c r="C1036" s="35" t="n">
        <v>15515</v>
      </c>
      <c r="D1036" s="35" t="n">
        <v>159</v>
      </c>
      <c r="E1036" s="35" t="n">
        <v>5</v>
      </c>
      <c r="F1036" s="35" t="n">
        <v>2</v>
      </c>
      <c r="G1036" s="35" t="n">
        <v>6280</v>
      </c>
      <c r="H1036" s="35" t="n">
        <v>2931</v>
      </c>
      <c r="I1036" s="28" t="str">
        <f aca="false">INDEX(Campaigns!$C$2:$C$31,MATCH(B1036,Campaigns!$A$2:$A$31,0))</f>
        <v>TikTok Ads</v>
      </c>
      <c r="J1036" s="40" t="n">
        <f aca="false">DATE(YEAR(A1036),MONTH(A1036),1)</f>
        <v>46266</v>
      </c>
    </row>
    <row r="1037" customFormat="false" ht="15" hidden="false" customHeight="false" outlineLevel="0" collapsed="false">
      <c r="A1037" s="34" t="n">
        <v>46270</v>
      </c>
      <c r="B1037" s="28" t="s">
        <v>141</v>
      </c>
      <c r="C1037" s="35" t="n">
        <v>6706</v>
      </c>
      <c r="D1037" s="35" t="n">
        <v>228</v>
      </c>
      <c r="E1037" s="35" t="n">
        <v>9</v>
      </c>
      <c r="F1037" s="35" t="n">
        <v>7</v>
      </c>
      <c r="G1037" s="35" t="n">
        <v>20060</v>
      </c>
      <c r="H1037" s="35" t="n">
        <v>2552</v>
      </c>
      <c r="I1037" s="28" t="str">
        <f aca="false">INDEX(Campaigns!$C$2:$C$31,MATCH(B1037,Campaigns!$A$2:$A$31,0))</f>
        <v>Email</v>
      </c>
      <c r="J1037" s="40" t="n">
        <f aca="false">DATE(YEAR(A1037),MONTH(A1037),1)</f>
        <v>46266</v>
      </c>
    </row>
    <row r="1038" customFormat="false" ht="15" hidden="false" customHeight="false" outlineLevel="0" collapsed="false">
      <c r="A1038" s="34" t="n">
        <v>46270</v>
      </c>
      <c r="B1038" s="28" t="s">
        <v>143</v>
      </c>
      <c r="C1038" s="35" t="n">
        <v>22748</v>
      </c>
      <c r="D1038" s="35" t="n">
        <v>1148</v>
      </c>
      <c r="E1038" s="35" t="n">
        <v>50</v>
      </c>
      <c r="F1038" s="35" t="n">
        <v>54</v>
      </c>
      <c r="G1038" s="35" t="n">
        <v>204310</v>
      </c>
      <c r="H1038" s="35" t="n">
        <v>21524</v>
      </c>
      <c r="I1038" s="28" t="str">
        <f aca="false">INDEX(Campaigns!$C$2:$C$31,MATCH(B1038,Campaigns!$A$2:$A$31,0))</f>
        <v>Google Search Ads</v>
      </c>
      <c r="J1038" s="40" t="n">
        <f aca="false">DATE(YEAR(A1038),MONTH(A1038),1)</f>
        <v>46266</v>
      </c>
    </row>
    <row r="1039" customFormat="false" ht="15" hidden="false" customHeight="false" outlineLevel="0" collapsed="false">
      <c r="A1039" s="34" t="n">
        <v>46270</v>
      </c>
      <c r="B1039" s="28" t="s">
        <v>147</v>
      </c>
      <c r="C1039" s="35" t="n">
        <v>29795</v>
      </c>
      <c r="D1039" s="35" t="n">
        <v>367</v>
      </c>
      <c r="E1039" s="35" t="n">
        <v>5</v>
      </c>
      <c r="F1039" s="35" t="n">
        <v>1</v>
      </c>
      <c r="G1039" s="35" t="n">
        <v>2660</v>
      </c>
      <c r="H1039" s="35" t="n">
        <v>7281</v>
      </c>
      <c r="I1039" s="28" t="str">
        <f aca="false">INDEX(Campaigns!$C$2:$C$31,MATCH(B1039,Campaigns!$A$2:$A$31,0))</f>
        <v>Facebook &amp; Instagram Ads</v>
      </c>
      <c r="J1039" s="40" t="n">
        <f aca="false">DATE(YEAR(A1039),MONTH(A1039),1)</f>
        <v>46266</v>
      </c>
    </row>
    <row r="1040" customFormat="false" ht="15" hidden="false" customHeight="false" outlineLevel="0" collapsed="false">
      <c r="A1040" s="34" t="n">
        <v>46270</v>
      </c>
      <c r="B1040" s="28" t="s">
        <v>152</v>
      </c>
      <c r="C1040" s="35" t="n">
        <v>7726</v>
      </c>
      <c r="D1040" s="35" t="n">
        <v>81</v>
      </c>
      <c r="E1040" s="35" t="n">
        <v>1</v>
      </c>
      <c r="F1040" s="35" t="n">
        <v>0</v>
      </c>
      <c r="G1040" s="35" t="n">
        <v>0</v>
      </c>
      <c r="H1040" s="35" t="n">
        <v>4676</v>
      </c>
      <c r="I1040" s="28" t="str">
        <f aca="false">INDEX(Campaigns!$C$2:$C$31,MATCH(B1040,Campaigns!$A$2:$A$31,0))</f>
        <v>Influencer Partnerships</v>
      </c>
      <c r="J1040" s="40" t="n">
        <f aca="false">DATE(YEAR(A1040),MONTH(A1040),1)</f>
        <v>46266</v>
      </c>
    </row>
    <row r="1041" customFormat="false" ht="15" hidden="false" customHeight="false" outlineLevel="0" collapsed="false">
      <c r="A1041" s="34" t="n">
        <v>46270</v>
      </c>
      <c r="B1041" s="28" t="s">
        <v>156</v>
      </c>
      <c r="C1041" s="35" t="n">
        <v>46872</v>
      </c>
      <c r="D1041" s="35" t="n">
        <v>415</v>
      </c>
      <c r="E1041" s="35" t="n">
        <v>69</v>
      </c>
      <c r="F1041" s="35" t="n">
        <v>9</v>
      </c>
      <c r="G1041" s="35" t="n">
        <v>27940</v>
      </c>
      <c r="H1041" s="35" t="n">
        <v>8707</v>
      </c>
      <c r="I1041" s="28" t="str">
        <f aca="false">INDEX(Campaigns!$C$2:$C$31,MATCH(B1041,Campaigns!$A$2:$A$31,0))</f>
        <v>TikTok Ads</v>
      </c>
      <c r="J1041" s="40" t="n">
        <f aca="false">DATE(YEAR(A1041),MONTH(A1041),1)</f>
        <v>46266</v>
      </c>
    </row>
    <row r="1042" customFormat="false" ht="15" hidden="false" customHeight="false" outlineLevel="0" collapsed="false">
      <c r="A1042" s="34" t="n">
        <v>46270</v>
      </c>
      <c r="B1042" s="28" t="s">
        <v>158</v>
      </c>
      <c r="C1042" s="35" t="n">
        <v>18573</v>
      </c>
      <c r="D1042" s="35" t="n">
        <v>163</v>
      </c>
      <c r="E1042" s="35" t="n">
        <v>19</v>
      </c>
      <c r="F1042" s="35" t="n">
        <v>2</v>
      </c>
      <c r="G1042" s="35" t="n">
        <v>8240</v>
      </c>
      <c r="H1042" s="35" t="n">
        <v>10671</v>
      </c>
      <c r="I1042" s="28" t="str">
        <f aca="false">INDEX(Campaigns!$C$2:$C$31,MATCH(B1042,Campaigns!$A$2:$A$31,0))</f>
        <v>Influencer Partnerships</v>
      </c>
      <c r="J1042" s="40" t="n">
        <f aca="false">DATE(YEAR(A1042),MONTH(A1042),1)</f>
        <v>46266</v>
      </c>
    </row>
    <row r="1043" customFormat="false" ht="15" hidden="false" customHeight="false" outlineLevel="0" collapsed="false">
      <c r="A1043" s="34" t="n">
        <v>46270</v>
      </c>
      <c r="B1043" s="28" t="s">
        <v>159</v>
      </c>
      <c r="C1043" s="35" t="n">
        <v>29189</v>
      </c>
      <c r="D1043" s="35" t="n">
        <v>433</v>
      </c>
      <c r="E1043" s="35" t="n">
        <v>58</v>
      </c>
      <c r="F1043" s="35" t="n">
        <v>7</v>
      </c>
      <c r="G1043" s="35" t="n">
        <v>23050</v>
      </c>
      <c r="H1043" s="35" t="n">
        <v>7339</v>
      </c>
      <c r="I1043" s="28" t="str">
        <f aca="false">INDEX(Campaigns!$C$2:$C$31,MATCH(B1043,Campaigns!$A$2:$A$31,0))</f>
        <v>Facebook &amp; Instagram Ads</v>
      </c>
      <c r="J1043" s="40" t="n">
        <f aca="false">DATE(YEAR(A1043),MONTH(A1043),1)</f>
        <v>46266</v>
      </c>
    </row>
    <row r="1044" customFormat="false" ht="15" hidden="false" customHeight="false" outlineLevel="0" collapsed="false">
      <c r="A1044" s="34" t="n">
        <v>46270</v>
      </c>
      <c r="B1044" s="28" t="s">
        <v>161</v>
      </c>
      <c r="C1044" s="35" t="n">
        <v>38743</v>
      </c>
      <c r="D1044" s="35" t="n">
        <v>510</v>
      </c>
      <c r="E1044" s="35" t="n">
        <v>11</v>
      </c>
      <c r="F1044" s="35" t="n">
        <v>2</v>
      </c>
      <c r="G1044" s="35" t="n">
        <v>9690</v>
      </c>
      <c r="H1044" s="35" t="n">
        <v>10171</v>
      </c>
      <c r="I1044" s="28" t="str">
        <f aca="false">INDEX(Campaigns!$C$2:$C$31,MATCH(B1044,Campaigns!$A$2:$A$31,0))</f>
        <v>Facebook &amp; Instagram Ads</v>
      </c>
      <c r="J1044" s="40" t="n">
        <f aca="false">DATE(YEAR(A1044),MONTH(A1044),1)</f>
        <v>46266</v>
      </c>
    </row>
    <row r="1045" customFormat="false" ht="15" hidden="false" customHeight="false" outlineLevel="0" collapsed="false">
      <c r="A1045" s="34" t="n">
        <v>46270</v>
      </c>
      <c r="B1045" s="28" t="s">
        <v>163</v>
      </c>
      <c r="C1045" s="35" t="n">
        <v>2001</v>
      </c>
      <c r="D1045" s="35" t="n">
        <v>64</v>
      </c>
      <c r="E1045" s="35" t="n">
        <v>3</v>
      </c>
      <c r="F1045" s="35" t="n">
        <v>2</v>
      </c>
      <c r="G1045" s="35" t="n">
        <v>7040</v>
      </c>
      <c r="H1045" s="35" t="n">
        <v>645</v>
      </c>
      <c r="I1045" s="28" t="str">
        <f aca="false">INDEX(Campaigns!$C$2:$C$31,MATCH(B1045,Campaigns!$A$2:$A$31,0))</f>
        <v>Email</v>
      </c>
      <c r="J1045" s="40" t="n">
        <f aca="false">DATE(YEAR(A1045),MONTH(A1045),1)</f>
        <v>46266</v>
      </c>
    </row>
    <row r="1046" customFormat="false" ht="15" hidden="false" customHeight="false" outlineLevel="0" collapsed="false">
      <c r="A1046" s="34" t="n">
        <v>46271</v>
      </c>
      <c r="B1046" s="28" t="s">
        <v>105</v>
      </c>
      <c r="C1046" s="35" t="n">
        <v>6230</v>
      </c>
      <c r="D1046" s="35" t="n">
        <v>251</v>
      </c>
      <c r="E1046" s="35" t="n">
        <v>8</v>
      </c>
      <c r="F1046" s="35" t="n">
        <v>2</v>
      </c>
      <c r="G1046" s="35" t="n">
        <v>5810</v>
      </c>
      <c r="H1046" s="35" t="n">
        <v>5358</v>
      </c>
      <c r="I1046" s="28" t="str">
        <f aca="false">INDEX(Campaigns!$C$2:$C$31,MATCH(B1046,Campaigns!$A$2:$A$31,0))</f>
        <v>Google Search Ads</v>
      </c>
      <c r="J1046" s="40" t="n">
        <f aca="false">DATE(YEAR(A1046),MONTH(A1046),1)</f>
        <v>46266</v>
      </c>
    </row>
    <row r="1047" customFormat="false" ht="15" hidden="false" customHeight="false" outlineLevel="0" collapsed="false">
      <c r="A1047" s="34" t="n">
        <v>46271</v>
      </c>
      <c r="B1047" s="28" t="s">
        <v>108</v>
      </c>
      <c r="C1047" s="35" t="n">
        <v>6533</v>
      </c>
      <c r="D1047" s="35" t="n">
        <v>220</v>
      </c>
      <c r="E1047" s="35" t="n">
        <v>8</v>
      </c>
      <c r="F1047" s="35" t="n">
        <v>18</v>
      </c>
      <c r="G1047" s="35" t="n">
        <v>54550</v>
      </c>
      <c r="H1047" s="35" t="n">
        <v>2382</v>
      </c>
      <c r="I1047" s="28" t="str">
        <f aca="false">INDEX(Campaigns!$C$2:$C$31,MATCH(B1047,Campaigns!$A$2:$A$31,0))</f>
        <v>Email</v>
      </c>
      <c r="J1047" s="40" t="n">
        <f aca="false">DATE(YEAR(A1047),MONTH(A1047),1)</f>
        <v>46266</v>
      </c>
    </row>
    <row r="1048" customFormat="false" ht="15" hidden="false" customHeight="false" outlineLevel="0" collapsed="false">
      <c r="A1048" s="34" t="n">
        <v>46271</v>
      </c>
      <c r="B1048" s="28" t="s">
        <v>110</v>
      </c>
      <c r="C1048" s="35" t="n">
        <v>14426</v>
      </c>
      <c r="D1048" s="35" t="n">
        <v>124</v>
      </c>
      <c r="E1048" s="35" t="n">
        <v>17</v>
      </c>
      <c r="F1048" s="35" t="n">
        <v>1</v>
      </c>
      <c r="G1048" s="35" t="n">
        <v>2770</v>
      </c>
      <c r="H1048" s="35" t="n">
        <v>8620</v>
      </c>
      <c r="I1048" s="28" t="str">
        <f aca="false">INDEX(Campaigns!$C$2:$C$31,MATCH(B1048,Campaigns!$A$2:$A$31,0))</f>
        <v>Influencer Partnerships</v>
      </c>
      <c r="J1048" s="40" t="n">
        <f aca="false">DATE(YEAR(A1048),MONTH(A1048),1)</f>
        <v>46266</v>
      </c>
    </row>
    <row r="1049" customFormat="false" ht="15" hidden="false" customHeight="false" outlineLevel="0" collapsed="false">
      <c r="A1049" s="34" t="n">
        <v>46271</v>
      </c>
      <c r="B1049" s="28" t="s">
        <v>114</v>
      </c>
      <c r="C1049" s="35" t="n">
        <v>749</v>
      </c>
      <c r="D1049" s="35" t="n">
        <v>31</v>
      </c>
      <c r="E1049" s="35" t="n">
        <v>0</v>
      </c>
      <c r="F1049" s="35" t="n">
        <v>1</v>
      </c>
      <c r="G1049" s="35" t="n">
        <v>2590</v>
      </c>
      <c r="H1049" s="35" t="n">
        <v>1004</v>
      </c>
      <c r="I1049" s="28" t="str">
        <f aca="false">INDEX(Campaigns!$C$2:$C$31,MATCH(B1049,Campaigns!$A$2:$A$31,0))</f>
        <v>WhatsApp Broadcast</v>
      </c>
      <c r="J1049" s="40" t="n">
        <f aca="false">DATE(YEAR(A1049),MONTH(A1049),1)</f>
        <v>46266</v>
      </c>
    </row>
    <row r="1050" customFormat="false" ht="15" hidden="false" customHeight="false" outlineLevel="0" collapsed="false">
      <c r="A1050" s="34" t="n">
        <v>46271</v>
      </c>
      <c r="B1050" s="28" t="s">
        <v>116</v>
      </c>
      <c r="C1050" s="35" t="n">
        <v>25074</v>
      </c>
      <c r="D1050" s="35" t="n">
        <v>303</v>
      </c>
      <c r="E1050" s="35" t="n">
        <v>10</v>
      </c>
      <c r="F1050" s="35" t="n">
        <v>2</v>
      </c>
      <c r="G1050" s="35" t="n">
        <v>10490</v>
      </c>
      <c r="H1050" s="35" t="n">
        <v>5735</v>
      </c>
      <c r="I1050" s="28" t="str">
        <f aca="false">INDEX(Campaigns!$C$2:$C$31,MATCH(B1050,Campaigns!$A$2:$A$31,0))</f>
        <v>Facebook &amp; Instagram Ads</v>
      </c>
      <c r="J1050" s="40" t="n">
        <f aca="false">DATE(YEAR(A1050),MONTH(A1050),1)</f>
        <v>46266</v>
      </c>
    </row>
    <row r="1051" customFormat="false" ht="15" hidden="false" customHeight="false" outlineLevel="0" collapsed="false">
      <c r="A1051" s="34" t="n">
        <v>46271</v>
      </c>
      <c r="B1051" s="28" t="s">
        <v>118</v>
      </c>
      <c r="C1051" s="35" t="n">
        <v>2791</v>
      </c>
      <c r="D1051" s="35" t="n">
        <v>167</v>
      </c>
      <c r="E1051" s="35" t="n">
        <v>6</v>
      </c>
      <c r="F1051" s="35" t="n">
        <v>10</v>
      </c>
      <c r="G1051" s="35" t="n">
        <v>38770</v>
      </c>
      <c r="H1051" s="35" t="n">
        <v>2531</v>
      </c>
      <c r="I1051" s="28" t="str">
        <f aca="false">INDEX(Campaigns!$C$2:$C$31,MATCH(B1051,Campaigns!$A$2:$A$31,0))</f>
        <v>Google Search Ads</v>
      </c>
      <c r="J1051" s="40" t="n">
        <f aca="false">DATE(YEAR(A1051),MONTH(A1051),1)</f>
        <v>46266</v>
      </c>
    </row>
    <row r="1052" customFormat="false" ht="15" hidden="false" customHeight="false" outlineLevel="0" collapsed="false">
      <c r="A1052" s="34" t="n">
        <v>46271</v>
      </c>
      <c r="B1052" s="28" t="s">
        <v>124</v>
      </c>
      <c r="C1052" s="35" t="n">
        <v>7931</v>
      </c>
      <c r="D1052" s="35" t="n">
        <v>184</v>
      </c>
      <c r="E1052" s="35" t="n">
        <v>9</v>
      </c>
      <c r="F1052" s="35" t="n">
        <v>2</v>
      </c>
      <c r="G1052" s="35" t="n">
        <v>6390</v>
      </c>
      <c r="H1052" s="35" t="n">
        <v>2727</v>
      </c>
      <c r="I1052" s="28" t="str">
        <f aca="false">INDEX(Campaigns!$C$2:$C$31,MATCH(B1052,Campaigns!$A$2:$A$31,0))</f>
        <v>Email</v>
      </c>
      <c r="J1052" s="40" t="n">
        <f aca="false">DATE(YEAR(A1052),MONTH(A1052),1)</f>
        <v>46266</v>
      </c>
    </row>
    <row r="1053" customFormat="false" ht="15" hidden="false" customHeight="false" outlineLevel="0" collapsed="false">
      <c r="A1053" s="34" t="n">
        <v>46271</v>
      </c>
      <c r="B1053" s="28" t="s">
        <v>130</v>
      </c>
      <c r="C1053" s="35" t="n">
        <v>2657</v>
      </c>
      <c r="D1053" s="35" t="n">
        <v>234</v>
      </c>
      <c r="E1053" s="35" t="n">
        <v>9</v>
      </c>
      <c r="F1053" s="35" t="n">
        <v>23</v>
      </c>
      <c r="G1053" s="35" t="n">
        <v>70920</v>
      </c>
      <c r="H1053" s="35" t="n">
        <v>4120</v>
      </c>
      <c r="I1053" s="28" t="str">
        <f aca="false">INDEX(Campaigns!$C$2:$C$31,MATCH(B1053,Campaigns!$A$2:$A$31,0))</f>
        <v>WhatsApp Broadcast</v>
      </c>
      <c r="J1053" s="40" t="n">
        <f aca="false">DATE(YEAR(A1053),MONTH(A1053),1)</f>
        <v>46266</v>
      </c>
    </row>
    <row r="1054" customFormat="false" ht="15" hidden="false" customHeight="false" outlineLevel="0" collapsed="false">
      <c r="A1054" s="34" t="n">
        <v>46271</v>
      </c>
      <c r="B1054" s="28" t="s">
        <v>132</v>
      </c>
      <c r="C1054" s="35" t="n">
        <v>38763</v>
      </c>
      <c r="D1054" s="35" t="n">
        <v>534</v>
      </c>
      <c r="E1054" s="35" t="n">
        <v>72</v>
      </c>
      <c r="F1054" s="35" t="n">
        <v>7</v>
      </c>
      <c r="G1054" s="35" t="n">
        <v>20460</v>
      </c>
      <c r="H1054" s="35" t="n">
        <v>8866</v>
      </c>
      <c r="I1054" s="28" t="str">
        <f aca="false">INDEX(Campaigns!$C$2:$C$31,MATCH(B1054,Campaigns!$A$2:$A$31,0))</f>
        <v>Facebook &amp; Instagram Ads</v>
      </c>
      <c r="J1054" s="40" t="n">
        <f aca="false">DATE(YEAR(A1054),MONTH(A1054),1)</f>
        <v>46266</v>
      </c>
    </row>
    <row r="1055" customFormat="false" ht="15" hidden="false" customHeight="false" outlineLevel="0" collapsed="false">
      <c r="A1055" s="34" t="n">
        <v>46271</v>
      </c>
      <c r="B1055" s="28" t="s">
        <v>138</v>
      </c>
      <c r="C1055" s="35" t="n">
        <v>3640</v>
      </c>
      <c r="D1055" s="35" t="n">
        <v>176</v>
      </c>
      <c r="E1055" s="35" t="n">
        <v>9</v>
      </c>
      <c r="F1055" s="35" t="n">
        <v>7</v>
      </c>
      <c r="G1055" s="35" t="n">
        <v>21680</v>
      </c>
      <c r="H1055" s="35" t="n">
        <v>5516</v>
      </c>
      <c r="I1055" s="28" t="str">
        <f aca="false">INDEX(Campaigns!$C$2:$C$31,MATCH(B1055,Campaigns!$A$2:$A$31,0))</f>
        <v>WhatsApp Broadcast</v>
      </c>
      <c r="J1055" s="40" t="n">
        <f aca="false">DATE(YEAR(A1055),MONTH(A1055),1)</f>
        <v>46266</v>
      </c>
    </row>
    <row r="1056" customFormat="false" ht="15" hidden="false" customHeight="false" outlineLevel="0" collapsed="false">
      <c r="A1056" s="34" t="n">
        <v>46271</v>
      </c>
      <c r="B1056" s="28" t="s">
        <v>139</v>
      </c>
      <c r="C1056" s="35" t="n">
        <v>20766</v>
      </c>
      <c r="D1056" s="35" t="n">
        <v>227</v>
      </c>
      <c r="E1056" s="35" t="n">
        <v>14</v>
      </c>
      <c r="F1056" s="35" t="n">
        <v>4</v>
      </c>
      <c r="G1056" s="35" t="n">
        <v>11320</v>
      </c>
      <c r="H1056" s="35" t="n">
        <v>3514</v>
      </c>
      <c r="I1056" s="28" t="str">
        <f aca="false">INDEX(Campaigns!$C$2:$C$31,MATCH(B1056,Campaigns!$A$2:$A$31,0))</f>
        <v>TikTok Ads</v>
      </c>
      <c r="J1056" s="40" t="n">
        <f aca="false">DATE(YEAR(A1056),MONTH(A1056),1)</f>
        <v>46266</v>
      </c>
    </row>
    <row r="1057" customFormat="false" ht="15" hidden="false" customHeight="false" outlineLevel="0" collapsed="false">
      <c r="A1057" s="34" t="n">
        <v>46271</v>
      </c>
      <c r="B1057" s="28" t="s">
        <v>141</v>
      </c>
      <c r="C1057" s="35" t="n">
        <v>6978</v>
      </c>
      <c r="D1057" s="35" t="n">
        <v>213</v>
      </c>
      <c r="E1057" s="35" t="n">
        <v>7</v>
      </c>
      <c r="F1057" s="35" t="n">
        <v>9</v>
      </c>
      <c r="G1057" s="35" t="n">
        <v>28770</v>
      </c>
      <c r="H1057" s="35" t="n">
        <v>2469</v>
      </c>
      <c r="I1057" s="28" t="str">
        <f aca="false">INDEX(Campaigns!$C$2:$C$31,MATCH(B1057,Campaigns!$A$2:$A$31,0))</f>
        <v>Email</v>
      </c>
      <c r="J1057" s="40" t="n">
        <f aca="false">DATE(YEAR(A1057),MONTH(A1057),1)</f>
        <v>46266</v>
      </c>
    </row>
    <row r="1058" customFormat="false" ht="15" hidden="false" customHeight="false" outlineLevel="0" collapsed="false">
      <c r="A1058" s="34" t="n">
        <v>46271</v>
      </c>
      <c r="B1058" s="28" t="s">
        <v>143</v>
      </c>
      <c r="C1058" s="35" t="n">
        <v>24711</v>
      </c>
      <c r="D1058" s="35" t="n">
        <v>1167</v>
      </c>
      <c r="E1058" s="35" t="n">
        <v>39</v>
      </c>
      <c r="F1058" s="35" t="n">
        <v>56</v>
      </c>
      <c r="G1058" s="35" t="n">
        <v>218900</v>
      </c>
      <c r="H1058" s="35" t="n">
        <v>20333</v>
      </c>
      <c r="I1058" s="28" t="str">
        <f aca="false">INDEX(Campaigns!$C$2:$C$31,MATCH(B1058,Campaigns!$A$2:$A$31,0))</f>
        <v>Google Search Ads</v>
      </c>
      <c r="J1058" s="40" t="n">
        <f aca="false">DATE(YEAR(A1058),MONTH(A1058),1)</f>
        <v>46266</v>
      </c>
    </row>
    <row r="1059" customFormat="false" ht="15" hidden="false" customHeight="false" outlineLevel="0" collapsed="false">
      <c r="A1059" s="34" t="n">
        <v>46271</v>
      </c>
      <c r="B1059" s="28" t="s">
        <v>147</v>
      </c>
      <c r="C1059" s="35" t="n">
        <v>27768</v>
      </c>
      <c r="D1059" s="35" t="n">
        <v>394</v>
      </c>
      <c r="E1059" s="35" t="n">
        <v>11</v>
      </c>
      <c r="F1059" s="35" t="n">
        <v>2</v>
      </c>
      <c r="G1059" s="35" t="n">
        <v>5600</v>
      </c>
      <c r="H1059" s="35" t="n">
        <v>7394</v>
      </c>
      <c r="I1059" s="28" t="str">
        <f aca="false">INDEX(Campaigns!$C$2:$C$31,MATCH(B1059,Campaigns!$A$2:$A$31,0))</f>
        <v>Facebook &amp; Instagram Ads</v>
      </c>
      <c r="J1059" s="40" t="n">
        <f aca="false">DATE(YEAR(A1059),MONTH(A1059),1)</f>
        <v>46266</v>
      </c>
    </row>
    <row r="1060" customFormat="false" ht="15" hidden="false" customHeight="false" outlineLevel="0" collapsed="false">
      <c r="A1060" s="34" t="n">
        <v>46271</v>
      </c>
      <c r="B1060" s="28" t="s">
        <v>152</v>
      </c>
      <c r="C1060" s="35" t="n">
        <v>9671</v>
      </c>
      <c r="D1060" s="35" t="n">
        <v>79</v>
      </c>
      <c r="E1060" s="35" t="n">
        <v>2</v>
      </c>
      <c r="F1060" s="35" t="n">
        <v>1</v>
      </c>
      <c r="G1060" s="35" t="n">
        <v>4000</v>
      </c>
      <c r="H1060" s="35" t="n">
        <v>5551</v>
      </c>
      <c r="I1060" s="28" t="str">
        <f aca="false">INDEX(Campaigns!$C$2:$C$31,MATCH(B1060,Campaigns!$A$2:$A$31,0))</f>
        <v>Influencer Partnerships</v>
      </c>
      <c r="J1060" s="40" t="n">
        <f aca="false">DATE(YEAR(A1060),MONTH(A1060),1)</f>
        <v>46266</v>
      </c>
    </row>
    <row r="1061" customFormat="false" ht="15" hidden="false" customHeight="false" outlineLevel="0" collapsed="false">
      <c r="A1061" s="34" t="n">
        <v>46271</v>
      </c>
      <c r="B1061" s="28" t="s">
        <v>154</v>
      </c>
      <c r="C1061" s="35" t="n">
        <v>7898</v>
      </c>
      <c r="D1061" s="35" t="n">
        <v>78</v>
      </c>
      <c r="E1061" s="35" t="n">
        <v>2</v>
      </c>
      <c r="F1061" s="35" t="n">
        <v>0</v>
      </c>
      <c r="G1061" s="35" t="n">
        <v>0</v>
      </c>
      <c r="H1061" s="35" t="n">
        <v>4524</v>
      </c>
      <c r="I1061" s="28" t="str">
        <f aca="false">INDEX(Campaigns!$C$2:$C$31,MATCH(B1061,Campaigns!$A$2:$A$31,0))</f>
        <v>Influencer Partnerships</v>
      </c>
      <c r="J1061" s="40" t="n">
        <f aca="false">DATE(YEAR(A1061),MONTH(A1061),1)</f>
        <v>46266</v>
      </c>
    </row>
    <row r="1062" customFormat="false" ht="15" hidden="false" customHeight="false" outlineLevel="0" collapsed="false">
      <c r="A1062" s="34" t="n">
        <v>46271</v>
      </c>
      <c r="B1062" s="28" t="s">
        <v>156</v>
      </c>
      <c r="C1062" s="35" t="n">
        <v>47932</v>
      </c>
      <c r="D1062" s="35" t="n">
        <v>488</v>
      </c>
      <c r="E1062" s="35" t="n">
        <v>81</v>
      </c>
      <c r="F1062" s="35" t="n">
        <v>10</v>
      </c>
      <c r="G1062" s="35" t="n">
        <v>24370</v>
      </c>
      <c r="H1062" s="35" t="n">
        <v>9202</v>
      </c>
      <c r="I1062" s="28" t="str">
        <f aca="false">INDEX(Campaigns!$C$2:$C$31,MATCH(B1062,Campaigns!$A$2:$A$31,0))</f>
        <v>TikTok Ads</v>
      </c>
      <c r="J1062" s="40" t="n">
        <f aca="false">DATE(YEAR(A1062),MONTH(A1062),1)</f>
        <v>46266</v>
      </c>
    </row>
    <row r="1063" customFormat="false" ht="15" hidden="false" customHeight="false" outlineLevel="0" collapsed="false">
      <c r="A1063" s="34" t="n">
        <v>46271</v>
      </c>
      <c r="B1063" s="28" t="s">
        <v>158</v>
      </c>
      <c r="C1063" s="35" t="n">
        <v>20327</v>
      </c>
      <c r="D1063" s="35" t="n">
        <v>169</v>
      </c>
      <c r="E1063" s="35" t="n">
        <v>33</v>
      </c>
      <c r="F1063" s="35" t="n">
        <v>5</v>
      </c>
      <c r="G1063" s="35" t="n">
        <v>20260</v>
      </c>
      <c r="H1063" s="35" t="n">
        <v>13067</v>
      </c>
      <c r="I1063" s="28" t="str">
        <f aca="false">INDEX(Campaigns!$C$2:$C$31,MATCH(B1063,Campaigns!$A$2:$A$31,0))</f>
        <v>Influencer Partnerships</v>
      </c>
      <c r="J1063" s="40" t="n">
        <f aca="false">DATE(YEAR(A1063),MONTH(A1063),1)</f>
        <v>46266</v>
      </c>
    </row>
    <row r="1064" customFormat="false" ht="15" hidden="false" customHeight="false" outlineLevel="0" collapsed="false">
      <c r="A1064" s="34" t="n">
        <v>46271</v>
      </c>
      <c r="B1064" s="28" t="s">
        <v>159</v>
      </c>
      <c r="C1064" s="35" t="n">
        <v>27521</v>
      </c>
      <c r="D1064" s="35" t="n">
        <v>409</v>
      </c>
      <c r="E1064" s="35" t="n">
        <v>47</v>
      </c>
      <c r="F1064" s="35" t="n">
        <v>5</v>
      </c>
      <c r="G1064" s="35" t="n">
        <v>16490</v>
      </c>
      <c r="H1064" s="35" t="n">
        <v>6387</v>
      </c>
      <c r="I1064" s="28" t="str">
        <f aca="false">INDEX(Campaigns!$C$2:$C$31,MATCH(B1064,Campaigns!$A$2:$A$31,0))</f>
        <v>Facebook &amp; Instagram Ads</v>
      </c>
      <c r="J1064" s="40" t="n">
        <f aca="false">DATE(YEAR(A1064),MONTH(A1064),1)</f>
        <v>46266</v>
      </c>
    </row>
    <row r="1065" customFormat="false" ht="15" hidden="false" customHeight="false" outlineLevel="0" collapsed="false">
      <c r="A1065" s="34" t="n">
        <v>46271</v>
      </c>
      <c r="B1065" s="28" t="s">
        <v>163</v>
      </c>
      <c r="C1065" s="35" t="n">
        <v>1355</v>
      </c>
      <c r="D1065" s="35" t="n">
        <v>40</v>
      </c>
      <c r="E1065" s="35" t="n">
        <v>1</v>
      </c>
      <c r="F1065" s="35" t="n">
        <v>3</v>
      </c>
      <c r="G1065" s="35" t="n">
        <v>9080</v>
      </c>
      <c r="H1065" s="35" t="n">
        <v>522</v>
      </c>
      <c r="I1065" s="28" t="str">
        <f aca="false">INDEX(Campaigns!$C$2:$C$31,MATCH(B1065,Campaigns!$A$2:$A$31,0))</f>
        <v>Email</v>
      </c>
      <c r="J1065" s="40" t="n">
        <f aca="false">DATE(YEAR(A1065),MONTH(A1065),1)</f>
        <v>46266</v>
      </c>
    </row>
    <row r="1066" customFormat="false" ht="15" hidden="false" customHeight="false" outlineLevel="0" collapsed="false">
      <c r="A1066" s="34" t="n">
        <v>46272</v>
      </c>
      <c r="B1066" s="28" t="s">
        <v>105</v>
      </c>
      <c r="C1066" s="35" t="n">
        <v>6087</v>
      </c>
      <c r="D1066" s="35" t="n">
        <v>239</v>
      </c>
      <c r="E1066" s="35" t="n">
        <v>8</v>
      </c>
      <c r="F1066" s="35" t="n">
        <v>5</v>
      </c>
      <c r="G1066" s="35" t="n">
        <v>20450</v>
      </c>
      <c r="H1066" s="35" t="n">
        <v>5284</v>
      </c>
      <c r="I1066" s="28" t="str">
        <f aca="false">INDEX(Campaigns!$C$2:$C$31,MATCH(B1066,Campaigns!$A$2:$A$31,0))</f>
        <v>Google Search Ads</v>
      </c>
      <c r="J1066" s="40" t="n">
        <f aca="false">DATE(YEAR(A1066),MONTH(A1066),1)</f>
        <v>46266</v>
      </c>
    </row>
    <row r="1067" customFormat="false" ht="15" hidden="false" customHeight="false" outlineLevel="0" collapsed="false">
      <c r="A1067" s="34" t="n">
        <v>46272</v>
      </c>
      <c r="B1067" s="28" t="s">
        <v>108</v>
      </c>
      <c r="C1067" s="35" t="n">
        <v>8255</v>
      </c>
      <c r="D1067" s="35" t="n">
        <v>279</v>
      </c>
      <c r="E1067" s="35" t="n">
        <v>7</v>
      </c>
      <c r="F1067" s="35" t="n">
        <v>10</v>
      </c>
      <c r="G1067" s="35" t="n">
        <v>33920</v>
      </c>
      <c r="H1067" s="35" t="n">
        <v>2747</v>
      </c>
      <c r="I1067" s="28" t="str">
        <f aca="false">INDEX(Campaigns!$C$2:$C$31,MATCH(B1067,Campaigns!$A$2:$A$31,0))</f>
        <v>Email</v>
      </c>
      <c r="J1067" s="40" t="n">
        <f aca="false">DATE(YEAR(A1067),MONTH(A1067),1)</f>
        <v>46266</v>
      </c>
    </row>
    <row r="1068" customFormat="false" ht="15" hidden="false" customHeight="false" outlineLevel="0" collapsed="false">
      <c r="A1068" s="34" t="n">
        <v>46272</v>
      </c>
      <c r="B1068" s="28" t="s">
        <v>110</v>
      </c>
      <c r="C1068" s="35" t="n">
        <v>12832</v>
      </c>
      <c r="D1068" s="35" t="n">
        <v>129</v>
      </c>
      <c r="E1068" s="35" t="n">
        <v>13</v>
      </c>
      <c r="F1068" s="35" t="n">
        <v>2</v>
      </c>
      <c r="G1068" s="35" t="n">
        <v>6500</v>
      </c>
      <c r="H1068" s="35" t="n">
        <v>7457</v>
      </c>
      <c r="I1068" s="28" t="str">
        <f aca="false">INDEX(Campaigns!$C$2:$C$31,MATCH(B1068,Campaigns!$A$2:$A$31,0))</f>
        <v>Influencer Partnerships</v>
      </c>
      <c r="J1068" s="40" t="n">
        <f aca="false">DATE(YEAR(A1068),MONTH(A1068),1)</f>
        <v>46266</v>
      </c>
    </row>
    <row r="1069" customFormat="false" ht="15" hidden="false" customHeight="false" outlineLevel="0" collapsed="false">
      <c r="A1069" s="34" t="n">
        <v>46272</v>
      </c>
      <c r="B1069" s="28" t="s">
        <v>114</v>
      </c>
      <c r="C1069" s="35" t="n">
        <v>748</v>
      </c>
      <c r="D1069" s="35" t="n">
        <v>45</v>
      </c>
      <c r="E1069" s="35" t="n">
        <v>1</v>
      </c>
      <c r="F1069" s="35" t="n">
        <v>2</v>
      </c>
      <c r="G1069" s="35" t="n">
        <v>6530</v>
      </c>
      <c r="H1069" s="35" t="n">
        <v>1078</v>
      </c>
      <c r="I1069" s="28" t="str">
        <f aca="false">INDEX(Campaigns!$C$2:$C$31,MATCH(B1069,Campaigns!$A$2:$A$31,0))</f>
        <v>WhatsApp Broadcast</v>
      </c>
      <c r="J1069" s="40" t="n">
        <f aca="false">DATE(YEAR(A1069),MONTH(A1069),1)</f>
        <v>46266</v>
      </c>
    </row>
    <row r="1070" customFormat="false" ht="15" hidden="false" customHeight="false" outlineLevel="0" collapsed="false">
      <c r="A1070" s="34" t="n">
        <v>46272</v>
      </c>
      <c r="B1070" s="28" t="s">
        <v>116</v>
      </c>
      <c r="C1070" s="35" t="n">
        <v>19620</v>
      </c>
      <c r="D1070" s="35" t="n">
        <v>240</v>
      </c>
      <c r="E1070" s="35" t="n">
        <v>14</v>
      </c>
      <c r="F1070" s="35" t="n">
        <v>2</v>
      </c>
      <c r="G1070" s="35" t="n">
        <v>8110</v>
      </c>
      <c r="H1070" s="35" t="n">
        <v>5306</v>
      </c>
      <c r="I1070" s="28" t="str">
        <f aca="false">INDEX(Campaigns!$C$2:$C$31,MATCH(B1070,Campaigns!$A$2:$A$31,0))</f>
        <v>Facebook &amp; Instagram Ads</v>
      </c>
      <c r="J1070" s="40" t="n">
        <f aca="false">DATE(YEAR(A1070),MONTH(A1070),1)</f>
        <v>46266</v>
      </c>
    </row>
    <row r="1071" customFormat="false" ht="15" hidden="false" customHeight="false" outlineLevel="0" collapsed="false">
      <c r="A1071" s="34" t="n">
        <v>46272</v>
      </c>
      <c r="B1071" s="28" t="s">
        <v>118</v>
      </c>
      <c r="C1071" s="35" t="n">
        <v>2953</v>
      </c>
      <c r="D1071" s="35" t="n">
        <v>144</v>
      </c>
      <c r="E1071" s="35" t="n">
        <v>2</v>
      </c>
      <c r="F1071" s="35" t="n">
        <v>7</v>
      </c>
      <c r="G1071" s="35" t="n">
        <v>24730</v>
      </c>
      <c r="H1071" s="35" t="n">
        <v>2493</v>
      </c>
      <c r="I1071" s="28" t="str">
        <f aca="false">INDEX(Campaigns!$C$2:$C$31,MATCH(B1071,Campaigns!$A$2:$A$31,0))</f>
        <v>Google Search Ads</v>
      </c>
      <c r="J1071" s="40" t="n">
        <f aca="false">DATE(YEAR(A1071),MONTH(A1071),1)</f>
        <v>46266</v>
      </c>
    </row>
    <row r="1072" customFormat="false" ht="15" hidden="false" customHeight="false" outlineLevel="0" collapsed="false">
      <c r="A1072" s="34" t="n">
        <v>46272</v>
      </c>
      <c r="B1072" s="28" t="s">
        <v>124</v>
      </c>
      <c r="C1072" s="35" t="n">
        <v>7302</v>
      </c>
      <c r="D1072" s="35" t="n">
        <v>150</v>
      </c>
      <c r="E1072" s="35" t="n">
        <v>4</v>
      </c>
      <c r="F1072" s="35" t="n">
        <v>0</v>
      </c>
      <c r="G1072" s="35" t="n">
        <v>0</v>
      </c>
      <c r="H1072" s="35" t="n">
        <v>2386</v>
      </c>
      <c r="I1072" s="28" t="str">
        <f aca="false">INDEX(Campaigns!$C$2:$C$31,MATCH(B1072,Campaigns!$A$2:$A$31,0))</f>
        <v>Email</v>
      </c>
      <c r="J1072" s="40" t="n">
        <f aca="false">DATE(YEAR(A1072),MONTH(A1072),1)</f>
        <v>46266</v>
      </c>
    </row>
    <row r="1073" customFormat="false" ht="15" hidden="false" customHeight="false" outlineLevel="0" collapsed="false">
      <c r="A1073" s="34" t="n">
        <v>46272</v>
      </c>
      <c r="B1073" s="28" t="s">
        <v>138</v>
      </c>
      <c r="C1073" s="35" t="n">
        <v>2691</v>
      </c>
      <c r="D1073" s="35" t="n">
        <v>124</v>
      </c>
      <c r="E1073" s="35" t="n">
        <v>5</v>
      </c>
      <c r="F1073" s="35" t="n">
        <v>6</v>
      </c>
      <c r="G1073" s="35" t="n">
        <v>18970</v>
      </c>
      <c r="H1073" s="35" t="n">
        <v>4070</v>
      </c>
      <c r="I1073" s="28" t="str">
        <f aca="false">INDEX(Campaigns!$C$2:$C$31,MATCH(B1073,Campaigns!$A$2:$A$31,0))</f>
        <v>WhatsApp Broadcast</v>
      </c>
      <c r="J1073" s="40" t="n">
        <f aca="false">DATE(YEAR(A1073),MONTH(A1073),1)</f>
        <v>46266</v>
      </c>
    </row>
    <row r="1074" customFormat="false" ht="15" hidden="false" customHeight="false" outlineLevel="0" collapsed="false">
      <c r="A1074" s="34" t="n">
        <v>46272</v>
      </c>
      <c r="B1074" s="28" t="s">
        <v>139</v>
      </c>
      <c r="C1074" s="35" t="n">
        <v>19396</v>
      </c>
      <c r="D1074" s="35" t="n">
        <v>207</v>
      </c>
      <c r="E1074" s="35" t="n">
        <v>13</v>
      </c>
      <c r="F1074" s="35" t="n">
        <v>1</v>
      </c>
      <c r="G1074" s="35" t="n">
        <v>2290</v>
      </c>
      <c r="H1074" s="35" t="n">
        <v>3178</v>
      </c>
      <c r="I1074" s="28" t="str">
        <f aca="false">INDEX(Campaigns!$C$2:$C$31,MATCH(B1074,Campaigns!$A$2:$A$31,0))</f>
        <v>TikTok Ads</v>
      </c>
      <c r="J1074" s="40" t="n">
        <f aca="false">DATE(YEAR(A1074),MONTH(A1074),1)</f>
        <v>46266</v>
      </c>
    </row>
    <row r="1075" customFormat="false" ht="15" hidden="false" customHeight="false" outlineLevel="0" collapsed="false">
      <c r="A1075" s="34" t="n">
        <v>46272</v>
      </c>
      <c r="B1075" s="28" t="s">
        <v>143</v>
      </c>
      <c r="C1075" s="35" t="n">
        <v>26395</v>
      </c>
      <c r="D1075" s="35" t="n">
        <v>1350</v>
      </c>
      <c r="E1075" s="35" t="n">
        <v>54</v>
      </c>
      <c r="F1075" s="35" t="n">
        <v>53</v>
      </c>
      <c r="G1075" s="35" t="n">
        <v>200990</v>
      </c>
      <c r="H1075" s="35" t="n">
        <v>22822</v>
      </c>
      <c r="I1075" s="28" t="str">
        <f aca="false">INDEX(Campaigns!$C$2:$C$31,MATCH(B1075,Campaigns!$A$2:$A$31,0))</f>
        <v>Google Search Ads</v>
      </c>
      <c r="J1075" s="40" t="n">
        <f aca="false">DATE(YEAR(A1075),MONTH(A1075),1)</f>
        <v>46266</v>
      </c>
    </row>
    <row r="1076" customFormat="false" ht="15" hidden="false" customHeight="false" outlineLevel="0" collapsed="false">
      <c r="A1076" s="34" t="n">
        <v>46272</v>
      </c>
      <c r="B1076" s="28" t="s">
        <v>152</v>
      </c>
      <c r="C1076" s="35" t="n">
        <v>7355</v>
      </c>
      <c r="D1076" s="35" t="n">
        <v>64</v>
      </c>
      <c r="E1076" s="35" t="n">
        <v>1</v>
      </c>
      <c r="F1076" s="35" t="n">
        <v>0</v>
      </c>
      <c r="G1076" s="35" t="n">
        <v>0</v>
      </c>
      <c r="H1076" s="35" t="n">
        <v>4205</v>
      </c>
      <c r="I1076" s="28" t="str">
        <f aca="false">INDEX(Campaigns!$C$2:$C$31,MATCH(B1076,Campaigns!$A$2:$A$31,0))</f>
        <v>Influencer Partnerships</v>
      </c>
      <c r="J1076" s="40" t="n">
        <f aca="false">DATE(YEAR(A1076),MONTH(A1076),1)</f>
        <v>46266</v>
      </c>
    </row>
    <row r="1077" customFormat="false" ht="15" hidden="false" customHeight="false" outlineLevel="0" collapsed="false">
      <c r="A1077" s="34" t="n">
        <v>46272</v>
      </c>
      <c r="B1077" s="28" t="s">
        <v>154</v>
      </c>
      <c r="C1077" s="35" t="n">
        <v>5791</v>
      </c>
      <c r="D1077" s="35" t="n">
        <v>54</v>
      </c>
      <c r="E1077" s="35" t="n">
        <v>1</v>
      </c>
      <c r="F1077" s="35" t="n">
        <v>0</v>
      </c>
      <c r="G1077" s="35" t="n">
        <v>0</v>
      </c>
      <c r="H1077" s="35" t="n">
        <v>3408</v>
      </c>
      <c r="I1077" s="28" t="str">
        <f aca="false">INDEX(Campaigns!$C$2:$C$31,MATCH(B1077,Campaigns!$A$2:$A$31,0))</f>
        <v>Influencer Partnerships</v>
      </c>
      <c r="J1077" s="40" t="n">
        <f aca="false">DATE(YEAR(A1077),MONTH(A1077),1)</f>
        <v>46266</v>
      </c>
    </row>
    <row r="1078" customFormat="false" ht="15" hidden="false" customHeight="false" outlineLevel="0" collapsed="false">
      <c r="A1078" s="34" t="n">
        <v>46272</v>
      </c>
      <c r="B1078" s="28" t="s">
        <v>156</v>
      </c>
      <c r="C1078" s="35" t="n">
        <v>34754</v>
      </c>
      <c r="D1078" s="35" t="n">
        <v>328</v>
      </c>
      <c r="E1078" s="35" t="n">
        <v>39</v>
      </c>
      <c r="F1078" s="35" t="n">
        <v>3</v>
      </c>
      <c r="G1078" s="35" t="n">
        <v>8710</v>
      </c>
      <c r="H1078" s="35" t="n">
        <v>6778</v>
      </c>
      <c r="I1078" s="28" t="str">
        <f aca="false">INDEX(Campaigns!$C$2:$C$31,MATCH(B1078,Campaigns!$A$2:$A$31,0))</f>
        <v>TikTok Ads</v>
      </c>
      <c r="J1078" s="40" t="n">
        <f aca="false">DATE(YEAR(A1078),MONTH(A1078),1)</f>
        <v>46266</v>
      </c>
    </row>
    <row r="1079" customFormat="false" ht="15" hidden="false" customHeight="false" outlineLevel="0" collapsed="false">
      <c r="A1079" s="34" t="n">
        <v>46272</v>
      </c>
      <c r="B1079" s="28" t="s">
        <v>158</v>
      </c>
      <c r="C1079" s="35" t="n">
        <v>18827</v>
      </c>
      <c r="D1079" s="35" t="n">
        <v>187</v>
      </c>
      <c r="E1079" s="35" t="n">
        <v>17</v>
      </c>
      <c r="F1079" s="35" t="n">
        <v>2</v>
      </c>
      <c r="G1079" s="35" t="n">
        <v>7190</v>
      </c>
      <c r="H1079" s="35" t="n">
        <v>11504</v>
      </c>
      <c r="I1079" s="28" t="str">
        <f aca="false">INDEX(Campaigns!$C$2:$C$31,MATCH(B1079,Campaigns!$A$2:$A$31,0))</f>
        <v>Influencer Partnerships</v>
      </c>
      <c r="J1079" s="40" t="n">
        <f aca="false">DATE(YEAR(A1079),MONTH(A1079),1)</f>
        <v>46266</v>
      </c>
    </row>
    <row r="1080" customFormat="false" ht="15" hidden="false" customHeight="false" outlineLevel="0" collapsed="false">
      <c r="A1080" s="34" t="n">
        <v>46272</v>
      </c>
      <c r="B1080" s="28" t="s">
        <v>159</v>
      </c>
      <c r="C1080" s="35" t="n">
        <v>25056</v>
      </c>
      <c r="D1080" s="35" t="n">
        <v>379</v>
      </c>
      <c r="E1080" s="35" t="n">
        <v>43</v>
      </c>
      <c r="F1080" s="35" t="n">
        <v>8</v>
      </c>
      <c r="G1080" s="35" t="n">
        <v>26900</v>
      </c>
      <c r="H1080" s="35" t="n">
        <v>5803</v>
      </c>
      <c r="I1080" s="28" t="str">
        <f aca="false">INDEX(Campaigns!$C$2:$C$31,MATCH(B1080,Campaigns!$A$2:$A$31,0))</f>
        <v>Facebook &amp; Instagram Ads</v>
      </c>
      <c r="J1080" s="40" t="n">
        <f aca="false">DATE(YEAR(A1080),MONTH(A1080),1)</f>
        <v>46266</v>
      </c>
    </row>
    <row r="1081" customFormat="false" ht="15" hidden="false" customHeight="false" outlineLevel="0" collapsed="false">
      <c r="A1081" s="34" t="n">
        <v>46272</v>
      </c>
      <c r="B1081" s="28" t="s">
        <v>161</v>
      </c>
      <c r="C1081" s="35" t="n">
        <v>53471</v>
      </c>
      <c r="D1081" s="35" t="n">
        <v>704</v>
      </c>
      <c r="E1081" s="35" t="n">
        <v>14</v>
      </c>
      <c r="F1081" s="35" t="n">
        <v>2</v>
      </c>
      <c r="G1081" s="35" t="n">
        <v>6980</v>
      </c>
      <c r="H1081" s="35" t="n">
        <v>12234</v>
      </c>
      <c r="I1081" s="28" t="str">
        <f aca="false">INDEX(Campaigns!$C$2:$C$31,MATCH(B1081,Campaigns!$A$2:$A$31,0))</f>
        <v>Facebook &amp; Instagram Ads</v>
      </c>
      <c r="J1081" s="40" t="n">
        <f aca="false">DATE(YEAR(A1081),MONTH(A1081),1)</f>
        <v>46266</v>
      </c>
    </row>
    <row r="1082" customFormat="false" ht="15" hidden="false" customHeight="false" outlineLevel="0" collapsed="false">
      <c r="A1082" s="34" t="n">
        <v>46272</v>
      </c>
      <c r="B1082" s="28" t="s">
        <v>163</v>
      </c>
      <c r="C1082" s="35" t="n">
        <v>1367</v>
      </c>
      <c r="D1082" s="35" t="n">
        <v>55</v>
      </c>
      <c r="E1082" s="35" t="n">
        <v>0</v>
      </c>
      <c r="F1082" s="35" t="n">
        <v>4</v>
      </c>
      <c r="G1082" s="35" t="n">
        <v>10140</v>
      </c>
      <c r="H1082" s="35" t="n">
        <v>478</v>
      </c>
      <c r="I1082" s="28" t="str">
        <f aca="false">INDEX(Campaigns!$C$2:$C$31,MATCH(B1082,Campaigns!$A$2:$A$31,0))</f>
        <v>Email</v>
      </c>
      <c r="J1082" s="40" t="n">
        <f aca="false">DATE(YEAR(A1082),MONTH(A1082),1)</f>
        <v>46266</v>
      </c>
    </row>
    <row r="1083" customFormat="false" ht="15" hidden="false" customHeight="false" outlineLevel="0" collapsed="false">
      <c r="A1083" s="34" t="n">
        <v>46273</v>
      </c>
      <c r="B1083" s="28" t="s">
        <v>105</v>
      </c>
      <c r="C1083" s="35" t="n">
        <v>6663</v>
      </c>
      <c r="D1083" s="35" t="n">
        <v>258</v>
      </c>
      <c r="E1083" s="35" t="n">
        <v>11</v>
      </c>
      <c r="F1083" s="35" t="n">
        <v>9</v>
      </c>
      <c r="G1083" s="35" t="n">
        <v>31100</v>
      </c>
      <c r="H1083" s="35" t="n">
        <v>5683</v>
      </c>
      <c r="I1083" s="28" t="str">
        <f aca="false">INDEX(Campaigns!$C$2:$C$31,MATCH(B1083,Campaigns!$A$2:$A$31,0))</f>
        <v>Google Search Ads</v>
      </c>
      <c r="J1083" s="40" t="n">
        <f aca="false">DATE(YEAR(A1083),MONTH(A1083),1)</f>
        <v>46266</v>
      </c>
    </row>
    <row r="1084" customFormat="false" ht="15" hidden="false" customHeight="false" outlineLevel="0" collapsed="false">
      <c r="A1084" s="34" t="n">
        <v>46273</v>
      </c>
      <c r="B1084" s="28" t="s">
        <v>108</v>
      </c>
      <c r="C1084" s="35" t="n">
        <v>6244</v>
      </c>
      <c r="D1084" s="35" t="n">
        <v>188</v>
      </c>
      <c r="E1084" s="35" t="n">
        <v>5</v>
      </c>
      <c r="F1084" s="35" t="n">
        <v>7</v>
      </c>
      <c r="G1084" s="35" t="n">
        <v>20100</v>
      </c>
      <c r="H1084" s="35" t="n">
        <v>2148</v>
      </c>
      <c r="I1084" s="28" t="str">
        <f aca="false">INDEX(Campaigns!$C$2:$C$31,MATCH(B1084,Campaigns!$A$2:$A$31,0))</f>
        <v>Email</v>
      </c>
      <c r="J1084" s="40" t="n">
        <f aca="false">DATE(YEAR(A1084),MONTH(A1084),1)</f>
        <v>46266</v>
      </c>
    </row>
    <row r="1085" customFormat="false" ht="15" hidden="false" customHeight="false" outlineLevel="0" collapsed="false">
      <c r="A1085" s="34" t="n">
        <v>46273</v>
      </c>
      <c r="B1085" s="28" t="s">
        <v>114</v>
      </c>
      <c r="C1085" s="35" t="n">
        <v>737</v>
      </c>
      <c r="D1085" s="35" t="n">
        <v>48</v>
      </c>
      <c r="E1085" s="35" t="n">
        <v>3</v>
      </c>
      <c r="F1085" s="35" t="n">
        <v>1</v>
      </c>
      <c r="G1085" s="35" t="n">
        <v>1920</v>
      </c>
      <c r="H1085" s="35" t="n">
        <v>944</v>
      </c>
      <c r="I1085" s="28" t="str">
        <f aca="false">INDEX(Campaigns!$C$2:$C$31,MATCH(B1085,Campaigns!$A$2:$A$31,0))</f>
        <v>WhatsApp Broadcast</v>
      </c>
      <c r="J1085" s="40" t="n">
        <f aca="false">DATE(YEAR(A1085),MONTH(A1085),1)</f>
        <v>46266</v>
      </c>
    </row>
    <row r="1086" customFormat="false" ht="15" hidden="false" customHeight="false" outlineLevel="0" collapsed="false">
      <c r="A1086" s="34" t="n">
        <v>46273</v>
      </c>
      <c r="B1086" s="28" t="s">
        <v>116</v>
      </c>
      <c r="C1086" s="35" t="n">
        <v>25214</v>
      </c>
      <c r="D1086" s="35" t="n">
        <v>311</v>
      </c>
      <c r="E1086" s="35" t="n">
        <v>14</v>
      </c>
      <c r="F1086" s="35" t="n">
        <v>5</v>
      </c>
      <c r="G1086" s="35" t="n">
        <v>16390</v>
      </c>
      <c r="H1086" s="35" t="n">
        <v>6209</v>
      </c>
      <c r="I1086" s="28" t="str">
        <f aca="false">INDEX(Campaigns!$C$2:$C$31,MATCH(B1086,Campaigns!$A$2:$A$31,0))</f>
        <v>Facebook &amp; Instagram Ads</v>
      </c>
      <c r="J1086" s="40" t="n">
        <f aca="false">DATE(YEAR(A1086),MONTH(A1086),1)</f>
        <v>46266</v>
      </c>
    </row>
    <row r="1087" customFormat="false" ht="15" hidden="false" customHeight="false" outlineLevel="0" collapsed="false">
      <c r="A1087" s="34" t="n">
        <v>46273</v>
      </c>
      <c r="B1087" s="28" t="s">
        <v>118</v>
      </c>
      <c r="C1087" s="35" t="n">
        <v>2579</v>
      </c>
      <c r="D1087" s="35" t="n">
        <v>125</v>
      </c>
      <c r="E1087" s="35" t="n">
        <v>2</v>
      </c>
      <c r="F1087" s="35" t="n">
        <v>10</v>
      </c>
      <c r="G1087" s="35" t="n">
        <v>38820</v>
      </c>
      <c r="H1087" s="35" t="n">
        <v>2328</v>
      </c>
      <c r="I1087" s="28" t="str">
        <f aca="false">INDEX(Campaigns!$C$2:$C$31,MATCH(B1087,Campaigns!$A$2:$A$31,0))</f>
        <v>Google Search Ads</v>
      </c>
      <c r="J1087" s="40" t="n">
        <f aca="false">DATE(YEAR(A1087),MONTH(A1087),1)</f>
        <v>46266</v>
      </c>
    </row>
    <row r="1088" customFormat="false" ht="15" hidden="false" customHeight="false" outlineLevel="0" collapsed="false">
      <c r="A1088" s="34" t="n">
        <v>46273</v>
      </c>
      <c r="B1088" s="28" t="s">
        <v>124</v>
      </c>
      <c r="C1088" s="35" t="n">
        <v>8793</v>
      </c>
      <c r="D1088" s="35" t="n">
        <v>186</v>
      </c>
      <c r="E1088" s="35" t="n">
        <v>8</v>
      </c>
      <c r="F1088" s="35" t="n">
        <v>6</v>
      </c>
      <c r="G1088" s="35" t="n">
        <v>18330</v>
      </c>
      <c r="H1088" s="35" t="n">
        <v>2875</v>
      </c>
      <c r="I1088" s="28" t="str">
        <f aca="false">INDEX(Campaigns!$C$2:$C$31,MATCH(B1088,Campaigns!$A$2:$A$31,0))</f>
        <v>Email</v>
      </c>
      <c r="J1088" s="40" t="n">
        <f aca="false">DATE(YEAR(A1088),MONTH(A1088),1)</f>
        <v>46266</v>
      </c>
    </row>
    <row r="1089" customFormat="false" ht="15" hidden="false" customHeight="false" outlineLevel="0" collapsed="false">
      <c r="A1089" s="34" t="n">
        <v>46273</v>
      </c>
      <c r="B1089" s="28" t="s">
        <v>132</v>
      </c>
      <c r="C1089" s="35" t="n">
        <v>37655</v>
      </c>
      <c r="D1089" s="35" t="n">
        <v>488</v>
      </c>
      <c r="E1089" s="35" t="n">
        <v>66</v>
      </c>
      <c r="F1089" s="35" t="n">
        <v>10</v>
      </c>
      <c r="G1089" s="35" t="n">
        <v>35420</v>
      </c>
      <c r="H1089" s="35" t="n">
        <v>9318</v>
      </c>
      <c r="I1089" s="28" t="str">
        <f aca="false">INDEX(Campaigns!$C$2:$C$31,MATCH(B1089,Campaigns!$A$2:$A$31,0))</f>
        <v>Facebook &amp; Instagram Ads</v>
      </c>
      <c r="J1089" s="40" t="n">
        <f aca="false">DATE(YEAR(A1089),MONTH(A1089),1)</f>
        <v>46266</v>
      </c>
    </row>
    <row r="1090" customFormat="false" ht="15" hidden="false" customHeight="false" outlineLevel="0" collapsed="false">
      <c r="A1090" s="34" t="n">
        <v>46273</v>
      </c>
      <c r="B1090" s="28" t="s">
        <v>138</v>
      </c>
      <c r="C1090" s="35" t="n">
        <v>3901</v>
      </c>
      <c r="D1090" s="35" t="n">
        <v>176</v>
      </c>
      <c r="E1090" s="35" t="n">
        <v>2</v>
      </c>
      <c r="F1090" s="35" t="n">
        <v>3</v>
      </c>
      <c r="G1090" s="35" t="n">
        <v>10370</v>
      </c>
      <c r="H1090" s="35" t="n">
        <v>4970</v>
      </c>
      <c r="I1090" s="28" t="str">
        <f aca="false">INDEX(Campaigns!$C$2:$C$31,MATCH(B1090,Campaigns!$A$2:$A$31,0))</f>
        <v>WhatsApp Broadcast</v>
      </c>
      <c r="J1090" s="40" t="n">
        <f aca="false">DATE(YEAR(A1090),MONTH(A1090),1)</f>
        <v>46266</v>
      </c>
    </row>
    <row r="1091" customFormat="false" ht="15" hidden="false" customHeight="false" outlineLevel="0" collapsed="false">
      <c r="A1091" s="34" t="n">
        <v>46273</v>
      </c>
      <c r="B1091" s="28" t="s">
        <v>139</v>
      </c>
      <c r="C1091" s="35" t="n">
        <v>16909</v>
      </c>
      <c r="D1091" s="35" t="n">
        <v>173</v>
      </c>
      <c r="E1091" s="35" t="n">
        <v>5</v>
      </c>
      <c r="F1091" s="35" t="n">
        <v>4</v>
      </c>
      <c r="G1091" s="35" t="n">
        <v>12140</v>
      </c>
      <c r="H1091" s="35" t="n">
        <v>3031</v>
      </c>
      <c r="I1091" s="28" t="str">
        <f aca="false">INDEX(Campaigns!$C$2:$C$31,MATCH(B1091,Campaigns!$A$2:$A$31,0))</f>
        <v>TikTok Ads</v>
      </c>
      <c r="J1091" s="40" t="n">
        <f aca="false">DATE(YEAR(A1091),MONTH(A1091),1)</f>
        <v>46266</v>
      </c>
    </row>
    <row r="1092" customFormat="false" ht="15" hidden="false" customHeight="false" outlineLevel="0" collapsed="false">
      <c r="A1092" s="34" t="n">
        <v>46273</v>
      </c>
      <c r="B1092" s="28" t="s">
        <v>141</v>
      </c>
      <c r="C1092" s="35" t="n">
        <v>6653</v>
      </c>
      <c r="D1092" s="35" t="n">
        <v>217</v>
      </c>
      <c r="E1092" s="35" t="n">
        <v>7</v>
      </c>
      <c r="F1092" s="35" t="n">
        <v>7</v>
      </c>
      <c r="G1092" s="35" t="n">
        <v>21030</v>
      </c>
      <c r="H1092" s="35" t="n">
        <v>2302</v>
      </c>
      <c r="I1092" s="28" t="str">
        <f aca="false">INDEX(Campaigns!$C$2:$C$31,MATCH(B1092,Campaigns!$A$2:$A$31,0))</f>
        <v>Email</v>
      </c>
      <c r="J1092" s="40" t="n">
        <f aca="false">DATE(YEAR(A1092),MONTH(A1092),1)</f>
        <v>46266</v>
      </c>
    </row>
    <row r="1093" customFormat="false" ht="15" hidden="false" customHeight="false" outlineLevel="0" collapsed="false">
      <c r="A1093" s="34" t="n">
        <v>46273</v>
      </c>
      <c r="B1093" s="28" t="s">
        <v>143</v>
      </c>
      <c r="C1093" s="35" t="n">
        <v>24287</v>
      </c>
      <c r="D1093" s="35" t="n">
        <v>1221</v>
      </c>
      <c r="E1093" s="35" t="n">
        <v>57</v>
      </c>
      <c r="F1093" s="35" t="n">
        <v>62</v>
      </c>
      <c r="G1093" s="35" t="n">
        <v>229630</v>
      </c>
      <c r="H1093" s="35" t="n">
        <v>21722</v>
      </c>
      <c r="I1093" s="28" t="str">
        <f aca="false">INDEX(Campaigns!$C$2:$C$31,MATCH(B1093,Campaigns!$A$2:$A$31,0))</f>
        <v>Google Search Ads</v>
      </c>
      <c r="J1093" s="40" t="n">
        <f aca="false">DATE(YEAR(A1093),MONTH(A1093),1)</f>
        <v>46266</v>
      </c>
    </row>
    <row r="1094" customFormat="false" ht="15" hidden="false" customHeight="false" outlineLevel="0" collapsed="false">
      <c r="A1094" s="34" t="n">
        <v>46273</v>
      </c>
      <c r="B1094" s="28" t="s">
        <v>147</v>
      </c>
      <c r="C1094" s="35" t="n">
        <v>23275</v>
      </c>
      <c r="D1094" s="35" t="n">
        <v>301</v>
      </c>
      <c r="E1094" s="35" t="n">
        <v>6</v>
      </c>
      <c r="F1094" s="35" t="n">
        <v>0</v>
      </c>
      <c r="G1094" s="35" t="n">
        <v>0</v>
      </c>
      <c r="H1094" s="35" t="n">
        <v>5862</v>
      </c>
      <c r="I1094" s="28" t="str">
        <f aca="false">INDEX(Campaigns!$C$2:$C$31,MATCH(B1094,Campaigns!$A$2:$A$31,0))</f>
        <v>Facebook &amp; Instagram Ads</v>
      </c>
      <c r="J1094" s="40" t="n">
        <f aca="false">DATE(YEAR(A1094),MONTH(A1094),1)</f>
        <v>46266</v>
      </c>
    </row>
    <row r="1095" customFormat="false" ht="15" hidden="false" customHeight="false" outlineLevel="0" collapsed="false">
      <c r="A1095" s="34" t="n">
        <v>46273</v>
      </c>
      <c r="B1095" s="28" t="s">
        <v>152</v>
      </c>
      <c r="C1095" s="35" t="n">
        <v>8407</v>
      </c>
      <c r="D1095" s="35" t="n">
        <v>82</v>
      </c>
      <c r="E1095" s="35" t="n">
        <v>3</v>
      </c>
      <c r="F1095" s="35" t="n">
        <v>1</v>
      </c>
      <c r="G1095" s="35" t="n">
        <v>3050</v>
      </c>
      <c r="H1095" s="35" t="n">
        <v>5004</v>
      </c>
      <c r="I1095" s="28" t="str">
        <f aca="false">INDEX(Campaigns!$C$2:$C$31,MATCH(B1095,Campaigns!$A$2:$A$31,0))</f>
        <v>Influencer Partnerships</v>
      </c>
      <c r="J1095" s="40" t="n">
        <f aca="false">DATE(YEAR(A1095),MONTH(A1095),1)</f>
        <v>46266</v>
      </c>
    </row>
    <row r="1096" customFormat="false" ht="15" hidden="false" customHeight="false" outlineLevel="0" collapsed="false">
      <c r="A1096" s="34" t="n">
        <v>46273</v>
      </c>
      <c r="B1096" s="28" t="s">
        <v>154</v>
      </c>
      <c r="C1096" s="35" t="n">
        <v>5023</v>
      </c>
      <c r="D1096" s="35" t="n">
        <v>39</v>
      </c>
      <c r="E1096" s="35" t="n">
        <v>5</v>
      </c>
      <c r="F1096" s="35" t="n">
        <v>0</v>
      </c>
      <c r="G1096" s="35" t="n">
        <v>0</v>
      </c>
      <c r="H1096" s="35" t="n">
        <v>3167</v>
      </c>
      <c r="I1096" s="28" t="str">
        <f aca="false">INDEX(Campaigns!$C$2:$C$31,MATCH(B1096,Campaigns!$A$2:$A$31,0))</f>
        <v>Influencer Partnerships</v>
      </c>
      <c r="J1096" s="40" t="n">
        <f aca="false">DATE(YEAR(A1096),MONTH(A1096),1)</f>
        <v>46266</v>
      </c>
    </row>
    <row r="1097" customFormat="false" ht="15" hidden="false" customHeight="false" outlineLevel="0" collapsed="false">
      <c r="A1097" s="34" t="n">
        <v>46273</v>
      </c>
      <c r="B1097" s="28" t="s">
        <v>158</v>
      </c>
      <c r="C1097" s="35" t="n">
        <v>18965</v>
      </c>
      <c r="D1097" s="35" t="n">
        <v>176</v>
      </c>
      <c r="E1097" s="35" t="n">
        <v>25</v>
      </c>
      <c r="F1097" s="35" t="n">
        <v>2</v>
      </c>
      <c r="G1097" s="35" t="n">
        <v>6530</v>
      </c>
      <c r="H1097" s="35" t="n">
        <v>10738</v>
      </c>
      <c r="I1097" s="28" t="str">
        <f aca="false">INDEX(Campaigns!$C$2:$C$31,MATCH(B1097,Campaigns!$A$2:$A$31,0))</f>
        <v>Influencer Partnerships</v>
      </c>
      <c r="J1097" s="40" t="n">
        <f aca="false">DATE(YEAR(A1097),MONTH(A1097),1)</f>
        <v>46266</v>
      </c>
    </row>
    <row r="1098" customFormat="false" ht="15" hidden="false" customHeight="false" outlineLevel="0" collapsed="false">
      <c r="A1098" s="34" t="n">
        <v>46273</v>
      </c>
      <c r="B1098" s="28" t="s">
        <v>159</v>
      </c>
      <c r="C1098" s="35" t="n">
        <v>30407</v>
      </c>
      <c r="D1098" s="35" t="n">
        <v>468</v>
      </c>
      <c r="E1098" s="35" t="n">
        <v>68</v>
      </c>
      <c r="F1098" s="35" t="n">
        <v>13</v>
      </c>
      <c r="G1098" s="35" t="n">
        <v>41890</v>
      </c>
      <c r="H1098" s="35" t="n">
        <v>7044</v>
      </c>
      <c r="I1098" s="28" t="str">
        <f aca="false">INDEX(Campaigns!$C$2:$C$31,MATCH(B1098,Campaigns!$A$2:$A$31,0))</f>
        <v>Facebook &amp; Instagram Ads</v>
      </c>
      <c r="J1098" s="40" t="n">
        <f aca="false">DATE(YEAR(A1098),MONTH(A1098),1)</f>
        <v>46266</v>
      </c>
    </row>
    <row r="1099" customFormat="false" ht="15" hidden="false" customHeight="false" outlineLevel="0" collapsed="false">
      <c r="A1099" s="34" t="n">
        <v>46273</v>
      </c>
      <c r="B1099" s="28" t="s">
        <v>161</v>
      </c>
      <c r="C1099" s="35" t="n">
        <v>45229</v>
      </c>
      <c r="D1099" s="35" t="n">
        <v>584</v>
      </c>
      <c r="E1099" s="35" t="n">
        <v>10</v>
      </c>
      <c r="F1099" s="35" t="n">
        <v>0</v>
      </c>
      <c r="G1099" s="35" t="n">
        <v>0</v>
      </c>
      <c r="H1099" s="35" t="n">
        <v>12017</v>
      </c>
      <c r="I1099" s="28" t="str">
        <f aca="false">INDEX(Campaigns!$C$2:$C$31,MATCH(B1099,Campaigns!$A$2:$A$31,0))</f>
        <v>Facebook &amp; Instagram Ads</v>
      </c>
      <c r="J1099" s="40" t="n">
        <f aca="false">DATE(YEAR(A1099),MONTH(A1099),1)</f>
        <v>46266</v>
      </c>
    </row>
    <row r="1100" customFormat="false" ht="15" hidden="false" customHeight="false" outlineLevel="0" collapsed="false">
      <c r="A1100" s="34" t="n">
        <v>46273</v>
      </c>
      <c r="B1100" s="28" t="s">
        <v>163</v>
      </c>
      <c r="C1100" s="35" t="n">
        <v>1459</v>
      </c>
      <c r="D1100" s="35" t="n">
        <v>43</v>
      </c>
      <c r="E1100" s="35" t="n">
        <v>1</v>
      </c>
      <c r="F1100" s="35" t="n">
        <v>3</v>
      </c>
      <c r="G1100" s="35" t="n">
        <v>8590</v>
      </c>
      <c r="H1100" s="35" t="n">
        <v>522</v>
      </c>
      <c r="I1100" s="28" t="str">
        <f aca="false">INDEX(Campaigns!$C$2:$C$31,MATCH(B1100,Campaigns!$A$2:$A$31,0))</f>
        <v>Email</v>
      </c>
      <c r="J1100" s="40" t="n">
        <f aca="false">DATE(YEAR(A1100),MONTH(A1100),1)</f>
        <v>46266</v>
      </c>
    </row>
    <row r="1101" customFormat="false" ht="15" hidden="false" customHeight="false" outlineLevel="0" collapsed="false">
      <c r="A1101" s="34" t="n">
        <v>46274</v>
      </c>
      <c r="B1101" s="28" t="s">
        <v>105</v>
      </c>
      <c r="C1101" s="35" t="n">
        <v>5189</v>
      </c>
      <c r="D1101" s="35" t="n">
        <v>214</v>
      </c>
      <c r="E1101" s="35" t="n">
        <v>4</v>
      </c>
      <c r="F1101" s="35" t="n">
        <v>10</v>
      </c>
      <c r="G1101" s="35" t="n">
        <v>33620</v>
      </c>
      <c r="H1101" s="35" t="n">
        <v>4623</v>
      </c>
      <c r="I1101" s="28" t="str">
        <f aca="false">INDEX(Campaigns!$C$2:$C$31,MATCH(B1101,Campaigns!$A$2:$A$31,0))</f>
        <v>Google Search Ads</v>
      </c>
      <c r="J1101" s="40" t="n">
        <f aca="false">DATE(YEAR(A1101),MONTH(A1101),1)</f>
        <v>46266</v>
      </c>
    </row>
    <row r="1102" customFormat="false" ht="15" hidden="false" customHeight="false" outlineLevel="0" collapsed="false">
      <c r="A1102" s="34" t="n">
        <v>46274</v>
      </c>
      <c r="B1102" s="28" t="s">
        <v>108</v>
      </c>
      <c r="C1102" s="35" t="n">
        <v>6752</v>
      </c>
      <c r="D1102" s="35" t="n">
        <v>216</v>
      </c>
      <c r="E1102" s="35" t="n">
        <v>10</v>
      </c>
      <c r="F1102" s="35" t="n">
        <v>12</v>
      </c>
      <c r="G1102" s="35" t="n">
        <v>36930</v>
      </c>
      <c r="H1102" s="35" t="n">
        <v>2573</v>
      </c>
      <c r="I1102" s="28" t="str">
        <f aca="false">INDEX(Campaigns!$C$2:$C$31,MATCH(B1102,Campaigns!$A$2:$A$31,0))</f>
        <v>Email</v>
      </c>
      <c r="J1102" s="40" t="n">
        <f aca="false">DATE(YEAR(A1102),MONTH(A1102),1)</f>
        <v>46266</v>
      </c>
    </row>
    <row r="1103" customFormat="false" ht="15" hidden="false" customHeight="false" outlineLevel="0" collapsed="false">
      <c r="A1103" s="34" t="n">
        <v>46274</v>
      </c>
      <c r="B1103" s="28" t="s">
        <v>110</v>
      </c>
      <c r="C1103" s="35" t="n">
        <v>14285</v>
      </c>
      <c r="D1103" s="35" t="n">
        <v>123</v>
      </c>
      <c r="E1103" s="35" t="n">
        <v>15</v>
      </c>
      <c r="F1103" s="35" t="n">
        <v>2</v>
      </c>
      <c r="G1103" s="35" t="n">
        <v>5360</v>
      </c>
      <c r="H1103" s="35" t="n">
        <v>8382</v>
      </c>
      <c r="I1103" s="28" t="str">
        <f aca="false">INDEX(Campaigns!$C$2:$C$31,MATCH(B1103,Campaigns!$A$2:$A$31,0))</f>
        <v>Influencer Partnerships</v>
      </c>
      <c r="J1103" s="40" t="n">
        <f aca="false">DATE(YEAR(A1103),MONTH(A1103),1)</f>
        <v>46266</v>
      </c>
    </row>
    <row r="1104" customFormat="false" ht="15" hidden="false" customHeight="false" outlineLevel="0" collapsed="false">
      <c r="A1104" s="34" t="n">
        <v>46274</v>
      </c>
      <c r="B1104" s="28" t="s">
        <v>114</v>
      </c>
      <c r="C1104" s="35" t="n">
        <v>720</v>
      </c>
      <c r="D1104" s="35" t="n">
        <v>42</v>
      </c>
      <c r="E1104" s="35" t="n">
        <v>1</v>
      </c>
      <c r="F1104" s="35" t="n">
        <v>3</v>
      </c>
      <c r="G1104" s="35" t="n">
        <v>6950</v>
      </c>
      <c r="H1104" s="35" t="n">
        <v>936</v>
      </c>
      <c r="I1104" s="28" t="str">
        <f aca="false">INDEX(Campaigns!$C$2:$C$31,MATCH(B1104,Campaigns!$A$2:$A$31,0))</f>
        <v>WhatsApp Broadcast</v>
      </c>
      <c r="J1104" s="40" t="n">
        <f aca="false">DATE(YEAR(A1104),MONTH(A1104),1)</f>
        <v>46266</v>
      </c>
    </row>
    <row r="1105" customFormat="false" ht="15" hidden="false" customHeight="false" outlineLevel="0" collapsed="false">
      <c r="A1105" s="34" t="n">
        <v>46274</v>
      </c>
      <c r="B1105" s="28" t="s">
        <v>116</v>
      </c>
      <c r="C1105" s="35" t="n">
        <v>22777</v>
      </c>
      <c r="D1105" s="35" t="n">
        <v>257</v>
      </c>
      <c r="E1105" s="35" t="n">
        <v>10</v>
      </c>
      <c r="F1105" s="35" t="n">
        <v>3</v>
      </c>
      <c r="G1105" s="35" t="n">
        <v>11700</v>
      </c>
      <c r="H1105" s="35" t="n">
        <v>5765</v>
      </c>
      <c r="I1105" s="28" t="str">
        <f aca="false">INDEX(Campaigns!$C$2:$C$31,MATCH(B1105,Campaigns!$A$2:$A$31,0))</f>
        <v>Facebook &amp; Instagram Ads</v>
      </c>
      <c r="J1105" s="40" t="n">
        <f aca="false">DATE(YEAR(A1105),MONTH(A1105),1)</f>
        <v>46266</v>
      </c>
    </row>
    <row r="1106" customFormat="false" ht="15" hidden="false" customHeight="false" outlineLevel="0" collapsed="false">
      <c r="A1106" s="34" t="n">
        <v>46274</v>
      </c>
      <c r="B1106" s="28" t="s">
        <v>118</v>
      </c>
      <c r="C1106" s="35" t="n">
        <v>3022</v>
      </c>
      <c r="D1106" s="35" t="n">
        <v>165</v>
      </c>
      <c r="E1106" s="35" t="n">
        <v>5</v>
      </c>
      <c r="F1106" s="35" t="n">
        <v>13</v>
      </c>
      <c r="G1106" s="35" t="n">
        <v>48210</v>
      </c>
      <c r="H1106" s="35" t="n">
        <v>2741</v>
      </c>
      <c r="I1106" s="28" t="str">
        <f aca="false">INDEX(Campaigns!$C$2:$C$31,MATCH(B1106,Campaigns!$A$2:$A$31,0))</f>
        <v>Google Search Ads</v>
      </c>
      <c r="J1106" s="40" t="n">
        <f aca="false">DATE(YEAR(A1106),MONTH(A1106),1)</f>
        <v>46266</v>
      </c>
    </row>
    <row r="1107" customFormat="false" ht="15" hidden="false" customHeight="false" outlineLevel="0" collapsed="false">
      <c r="A1107" s="34" t="n">
        <v>46274</v>
      </c>
      <c r="B1107" s="28" t="s">
        <v>132</v>
      </c>
      <c r="C1107" s="35" t="n">
        <v>39892</v>
      </c>
      <c r="D1107" s="35" t="n">
        <v>516</v>
      </c>
      <c r="E1107" s="35" t="n">
        <v>92</v>
      </c>
      <c r="F1107" s="35" t="n">
        <v>8</v>
      </c>
      <c r="G1107" s="35" t="n">
        <v>23950</v>
      </c>
      <c r="H1107" s="35" t="n">
        <v>9517</v>
      </c>
      <c r="I1107" s="28" t="str">
        <f aca="false">INDEX(Campaigns!$C$2:$C$31,MATCH(B1107,Campaigns!$A$2:$A$31,0))</f>
        <v>Facebook &amp; Instagram Ads</v>
      </c>
      <c r="J1107" s="40" t="n">
        <f aca="false">DATE(YEAR(A1107),MONTH(A1107),1)</f>
        <v>46266</v>
      </c>
    </row>
    <row r="1108" customFormat="false" ht="15" hidden="false" customHeight="false" outlineLevel="0" collapsed="false">
      <c r="A1108" s="34" t="n">
        <v>46274</v>
      </c>
      <c r="B1108" s="28" t="s">
        <v>138</v>
      </c>
      <c r="C1108" s="35" t="n">
        <v>3134</v>
      </c>
      <c r="D1108" s="35" t="n">
        <v>128</v>
      </c>
      <c r="E1108" s="35" t="n">
        <v>5</v>
      </c>
      <c r="F1108" s="35" t="n">
        <v>2</v>
      </c>
      <c r="G1108" s="35" t="n">
        <v>4260</v>
      </c>
      <c r="H1108" s="35" t="n">
        <v>4570</v>
      </c>
      <c r="I1108" s="28" t="str">
        <f aca="false">INDEX(Campaigns!$C$2:$C$31,MATCH(B1108,Campaigns!$A$2:$A$31,0))</f>
        <v>WhatsApp Broadcast</v>
      </c>
      <c r="J1108" s="40" t="n">
        <f aca="false">DATE(YEAR(A1108),MONTH(A1108),1)</f>
        <v>46266</v>
      </c>
    </row>
    <row r="1109" customFormat="false" ht="15" hidden="false" customHeight="false" outlineLevel="0" collapsed="false">
      <c r="A1109" s="34" t="n">
        <v>46274</v>
      </c>
      <c r="B1109" s="28" t="s">
        <v>139</v>
      </c>
      <c r="C1109" s="35" t="n">
        <v>16453</v>
      </c>
      <c r="D1109" s="35" t="n">
        <v>152</v>
      </c>
      <c r="E1109" s="35" t="n">
        <v>4</v>
      </c>
      <c r="F1109" s="35" t="n">
        <v>3</v>
      </c>
      <c r="G1109" s="35" t="n">
        <v>7720</v>
      </c>
      <c r="H1109" s="35" t="n">
        <v>2869</v>
      </c>
      <c r="I1109" s="28" t="str">
        <f aca="false">INDEX(Campaigns!$C$2:$C$31,MATCH(B1109,Campaigns!$A$2:$A$31,0))</f>
        <v>TikTok Ads</v>
      </c>
      <c r="J1109" s="40" t="n">
        <f aca="false">DATE(YEAR(A1109),MONTH(A1109),1)</f>
        <v>46266</v>
      </c>
    </row>
    <row r="1110" customFormat="false" ht="15" hidden="false" customHeight="false" outlineLevel="0" collapsed="false">
      <c r="A1110" s="34" t="n">
        <v>46274</v>
      </c>
      <c r="B1110" s="28" t="s">
        <v>143</v>
      </c>
      <c r="C1110" s="35" t="n">
        <v>22356</v>
      </c>
      <c r="D1110" s="35" t="n">
        <v>1078</v>
      </c>
      <c r="E1110" s="35" t="n">
        <v>40</v>
      </c>
      <c r="F1110" s="35" t="n">
        <v>59</v>
      </c>
      <c r="G1110" s="35" t="n">
        <v>211500</v>
      </c>
      <c r="H1110" s="35" t="n">
        <v>20075</v>
      </c>
      <c r="I1110" s="28" t="str">
        <f aca="false">INDEX(Campaigns!$C$2:$C$31,MATCH(B1110,Campaigns!$A$2:$A$31,0))</f>
        <v>Google Search Ads</v>
      </c>
      <c r="J1110" s="40" t="n">
        <f aca="false">DATE(YEAR(A1110),MONTH(A1110),1)</f>
        <v>46266</v>
      </c>
    </row>
    <row r="1111" customFormat="false" ht="15" hidden="false" customHeight="false" outlineLevel="0" collapsed="false">
      <c r="A1111" s="34" t="n">
        <v>46274</v>
      </c>
      <c r="B1111" s="28" t="s">
        <v>147</v>
      </c>
      <c r="C1111" s="35" t="n">
        <v>22333</v>
      </c>
      <c r="D1111" s="35" t="n">
        <v>328</v>
      </c>
      <c r="E1111" s="35" t="n">
        <v>10</v>
      </c>
      <c r="F1111" s="35" t="n">
        <v>0</v>
      </c>
      <c r="G1111" s="35" t="n">
        <v>0</v>
      </c>
      <c r="H1111" s="35" t="n">
        <v>5669</v>
      </c>
      <c r="I1111" s="28" t="str">
        <f aca="false">INDEX(Campaigns!$C$2:$C$31,MATCH(B1111,Campaigns!$A$2:$A$31,0))</f>
        <v>Facebook &amp; Instagram Ads</v>
      </c>
      <c r="J1111" s="40" t="n">
        <f aca="false">DATE(YEAR(A1111),MONTH(A1111),1)</f>
        <v>46266</v>
      </c>
    </row>
    <row r="1112" customFormat="false" ht="15" hidden="false" customHeight="false" outlineLevel="0" collapsed="false">
      <c r="A1112" s="34" t="n">
        <v>46274</v>
      </c>
      <c r="B1112" s="28" t="s">
        <v>152</v>
      </c>
      <c r="C1112" s="35" t="n">
        <v>7164</v>
      </c>
      <c r="D1112" s="35" t="n">
        <v>66</v>
      </c>
      <c r="E1112" s="35" t="n">
        <v>3</v>
      </c>
      <c r="F1112" s="35" t="n">
        <v>3</v>
      </c>
      <c r="G1112" s="35" t="n">
        <v>12060</v>
      </c>
      <c r="H1112" s="35" t="n">
        <v>4451</v>
      </c>
      <c r="I1112" s="28" t="str">
        <f aca="false">INDEX(Campaigns!$C$2:$C$31,MATCH(B1112,Campaigns!$A$2:$A$31,0))</f>
        <v>Influencer Partnerships</v>
      </c>
      <c r="J1112" s="40" t="n">
        <f aca="false">DATE(YEAR(A1112),MONTH(A1112),1)</f>
        <v>46266</v>
      </c>
    </row>
    <row r="1113" customFormat="false" ht="15" hidden="false" customHeight="false" outlineLevel="0" collapsed="false">
      <c r="A1113" s="34" t="n">
        <v>46274</v>
      </c>
      <c r="B1113" s="28" t="s">
        <v>154</v>
      </c>
      <c r="C1113" s="35" t="n">
        <v>5695</v>
      </c>
      <c r="D1113" s="35" t="n">
        <v>44</v>
      </c>
      <c r="E1113" s="35" t="n">
        <v>1</v>
      </c>
      <c r="F1113" s="35" t="n">
        <v>1</v>
      </c>
      <c r="G1113" s="35" t="n">
        <v>4060</v>
      </c>
      <c r="H1113" s="35" t="n">
        <v>3318</v>
      </c>
      <c r="I1113" s="28" t="str">
        <f aca="false">INDEX(Campaigns!$C$2:$C$31,MATCH(B1113,Campaigns!$A$2:$A$31,0))</f>
        <v>Influencer Partnerships</v>
      </c>
      <c r="J1113" s="40" t="n">
        <f aca="false">DATE(YEAR(A1113),MONTH(A1113),1)</f>
        <v>46266</v>
      </c>
    </row>
    <row r="1114" customFormat="false" ht="15" hidden="false" customHeight="false" outlineLevel="0" collapsed="false">
      <c r="A1114" s="34" t="n">
        <v>46274</v>
      </c>
      <c r="B1114" s="28" t="s">
        <v>158</v>
      </c>
      <c r="C1114" s="35" t="n">
        <v>14304</v>
      </c>
      <c r="D1114" s="35" t="n">
        <v>123</v>
      </c>
      <c r="E1114" s="35" t="n">
        <v>21</v>
      </c>
      <c r="F1114" s="35" t="n">
        <v>0</v>
      </c>
      <c r="G1114" s="35" t="n">
        <v>0</v>
      </c>
      <c r="H1114" s="35" t="n">
        <v>9112</v>
      </c>
      <c r="I1114" s="28" t="str">
        <f aca="false">INDEX(Campaigns!$C$2:$C$31,MATCH(B1114,Campaigns!$A$2:$A$31,0))</f>
        <v>Influencer Partnerships</v>
      </c>
      <c r="J1114" s="40" t="n">
        <f aca="false">DATE(YEAR(A1114),MONTH(A1114),1)</f>
        <v>46266</v>
      </c>
    </row>
    <row r="1115" customFormat="false" ht="15" hidden="false" customHeight="false" outlineLevel="0" collapsed="false">
      <c r="A1115" s="34" t="n">
        <v>46274</v>
      </c>
      <c r="B1115" s="28" t="s">
        <v>159</v>
      </c>
      <c r="C1115" s="35" t="n">
        <v>21478</v>
      </c>
      <c r="D1115" s="35" t="n">
        <v>327</v>
      </c>
      <c r="E1115" s="35" t="n">
        <v>43</v>
      </c>
      <c r="F1115" s="35" t="n">
        <v>5</v>
      </c>
      <c r="G1115" s="35" t="n">
        <v>14860</v>
      </c>
      <c r="H1115" s="35" t="n">
        <v>5914</v>
      </c>
      <c r="I1115" s="28" t="str">
        <f aca="false">INDEX(Campaigns!$C$2:$C$31,MATCH(B1115,Campaigns!$A$2:$A$31,0))</f>
        <v>Facebook &amp; Instagram Ads</v>
      </c>
      <c r="J1115" s="40" t="n">
        <f aca="false">DATE(YEAR(A1115),MONTH(A1115),1)</f>
        <v>46266</v>
      </c>
    </row>
    <row r="1116" customFormat="false" ht="15" hidden="false" customHeight="false" outlineLevel="0" collapsed="false">
      <c r="A1116" s="34" t="n">
        <v>46274</v>
      </c>
      <c r="B1116" s="28" t="s">
        <v>161</v>
      </c>
      <c r="C1116" s="35" t="n">
        <v>37866</v>
      </c>
      <c r="D1116" s="35" t="n">
        <v>480</v>
      </c>
      <c r="E1116" s="35" t="n">
        <v>3</v>
      </c>
      <c r="F1116" s="35" t="n">
        <v>1</v>
      </c>
      <c r="G1116" s="35" t="n">
        <v>2530</v>
      </c>
      <c r="H1116" s="35" t="n">
        <v>9892</v>
      </c>
      <c r="I1116" s="28" t="str">
        <f aca="false">INDEX(Campaigns!$C$2:$C$31,MATCH(B1116,Campaigns!$A$2:$A$31,0))</f>
        <v>Facebook &amp; Instagram Ads</v>
      </c>
      <c r="J1116" s="40" t="n">
        <f aca="false">DATE(YEAR(A1116),MONTH(A1116),1)</f>
        <v>46266</v>
      </c>
    </row>
    <row r="1117" customFormat="false" ht="15" hidden="false" customHeight="false" outlineLevel="0" collapsed="false">
      <c r="A1117" s="34" t="n">
        <v>46274</v>
      </c>
      <c r="B1117" s="28" t="s">
        <v>163</v>
      </c>
      <c r="C1117" s="35" t="n">
        <v>1465</v>
      </c>
      <c r="D1117" s="35" t="n">
        <v>37</v>
      </c>
      <c r="E1117" s="35" t="n">
        <v>1</v>
      </c>
      <c r="F1117" s="35" t="n">
        <v>2</v>
      </c>
      <c r="G1117" s="35" t="n">
        <v>7330</v>
      </c>
      <c r="H1117" s="35" t="n">
        <v>516</v>
      </c>
      <c r="I1117" s="28" t="str">
        <f aca="false">INDEX(Campaigns!$C$2:$C$31,MATCH(B1117,Campaigns!$A$2:$A$31,0))</f>
        <v>Email</v>
      </c>
      <c r="J1117" s="40" t="n">
        <f aca="false">DATE(YEAR(A1117),MONTH(A1117),1)</f>
        <v>46266</v>
      </c>
    </row>
    <row r="1118" customFormat="false" ht="15" hidden="false" customHeight="false" outlineLevel="0" collapsed="false">
      <c r="A1118" s="34" t="n">
        <v>46275</v>
      </c>
      <c r="B1118" s="28" t="s">
        <v>105</v>
      </c>
      <c r="C1118" s="35" t="n">
        <v>5428</v>
      </c>
      <c r="D1118" s="35" t="n">
        <v>210</v>
      </c>
      <c r="E1118" s="35" t="n">
        <v>8</v>
      </c>
      <c r="F1118" s="35" t="n">
        <v>7</v>
      </c>
      <c r="G1118" s="35" t="n">
        <v>22620</v>
      </c>
      <c r="H1118" s="35" t="n">
        <v>4504</v>
      </c>
      <c r="I1118" s="28" t="str">
        <f aca="false">INDEX(Campaigns!$C$2:$C$31,MATCH(B1118,Campaigns!$A$2:$A$31,0))</f>
        <v>Google Search Ads</v>
      </c>
      <c r="J1118" s="40" t="n">
        <f aca="false">DATE(YEAR(A1118),MONTH(A1118),1)</f>
        <v>46266</v>
      </c>
    </row>
    <row r="1119" customFormat="false" ht="15" hidden="false" customHeight="false" outlineLevel="0" collapsed="false">
      <c r="A1119" s="34" t="n">
        <v>46275</v>
      </c>
      <c r="B1119" s="28" t="s">
        <v>108</v>
      </c>
      <c r="C1119" s="35" t="n">
        <v>7352</v>
      </c>
      <c r="D1119" s="35" t="n">
        <v>250</v>
      </c>
      <c r="E1119" s="35" t="n">
        <v>13</v>
      </c>
      <c r="F1119" s="35" t="n">
        <v>15</v>
      </c>
      <c r="G1119" s="35" t="n">
        <v>50280</v>
      </c>
      <c r="H1119" s="35" t="n">
        <v>2425</v>
      </c>
      <c r="I1119" s="28" t="str">
        <f aca="false">INDEX(Campaigns!$C$2:$C$31,MATCH(B1119,Campaigns!$A$2:$A$31,0))</f>
        <v>Email</v>
      </c>
      <c r="J1119" s="40" t="n">
        <f aca="false">DATE(YEAR(A1119),MONTH(A1119),1)</f>
        <v>46266</v>
      </c>
    </row>
    <row r="1120" customFormat="false" ht="15" hidden="false" customHeight="false" outlineLevel="0" collapsed="false">
      <c r="A1120" s="34" t="n">
        <v>46275</v>
      </c>
      <c r="B1120" s="28" t="s">
        <v>110</v>
      </c>
      <c r="C1120" s="35" t="n">
        <v>14928</v>
      </c>
      <c r="D1120" s="35" t="n">
        <v>139</v>
      </c>
      <c r="E1120" s="35" t="n">
        <v>29</v>
      </c>
      <c r="F1120" s="35" t="n">
        <v>4</v>
      </c>
      <c r="G1120" s="35" t="n">
        <v>14590</v>
      </c>
      <c r="H1120" s="35" t="n">
        <v>9858</v>
      </c>
      <c r="I1120" s="28" t="str">
        <f aca="false">INDEX(Campaigns!$C$2:$C$31,MATCH(B1120,Campaigns!$A$2:$A$31,0))</f>
        <v>Influencer Partnerships</v>
      </c>
      <c r="J1120" s="40" t="n">
        <f aca="false">DATE(YEAR(A1120),MONTH(A1120),1)</f>
        <v>46266</v>
      </c>
    </row>
    <row r="1121" customFormat="false" ht="15" hidden="false" customHeight="false" outlineLevel="0" collapsed="false">
      <c r="A1121" s="34" t="n">
        <v>46275</v>
      </c>
      <c r="B1121" s="28" t="s">
        <v>114</v>
      </c>
      <c r="C1121" s="35" t="n">
        <v>658</v>
      </c>
      <c r="D1121" s="35" t="n">
        <v>50</v>
      </c>
      <c r="E1121" s="35" t="n">
        <v>0</v>
      </c>
      <c r="F1121" s="35" t="n">
        <v>3</v>
      </c>
      <c r="G1121" s="35" t="n">
        <v>7240</v>
      </c>
      <c r="H1121" s="35" t="n">
        <v>1004</v>
      </c>
      <c r="I1121" s="28" t="str">
        <f aca="false">INDEX(Campaigns!$C$2:$C$31,MATCH(B1121,Campaigns!$A$2:$A$31,0))</f>
        <v>WhatsApp Broadcast</v>
      </c>
      <c r="J1121" s="40" t="n">
        <f aca="false">DATE(YEAR(A1121),MONTH(A1121),1)</f>
        <v>46266</v>
      </c>
    </row>
    <row r="1122" customFormat="false" ht="15" hidden="false" customHeight="false" outlineLevel="0" collapsed="false">
      <c r="A1122" s="34" t="n">
        <v>46275</v>
      </c>
      <c r="B1122" s="28" t="s">
        <v>116</v>
      </c>
      <c r="C1122" s="35" t="n">
        <v>21615</v>
      </c>
      <c r="D1122" s="35" t="n">
        <v>238</v>
      </c>
      <c r="E1122" s="35" t="n">
        <v>7</v>
      </c>
      <c r="F1122" s="35" t="n">
        <v>4</v>
      </c>
      <c r="G1122" s="35" t="n">
        <v>12440</v>
      </c>
      <c r="H1122" s="35" t="n">
        <v>5077</v>
      </c>
      <c r="I1122" s="28" t="str">
        <f aca="false">INDEX(Campaigns!$C$2:$C$31,MATCH(B1122,Campaigns!$A$2:$A$31,0))</f>
        <v>Facebook &amp; Instagram Ads</v>
      </c>
      <c r="J1122" s="40" t="n">
        <f aca="false">DATE(YEAR(A1122),MONTH(A1122),1)</f>
        <v>46266</v>
      </c>
    </row>
    <row r="1123" customFormat="false" ht="15" hidden="false" customHeight="false" outlineLevel="0" collapsed="false">
      <c r="A1123" s="34" t="n">
        <v>46275</v>
      </c>
      <c r="B1123" s="28" t="s">
        <v>118</v>
      </c>
      <c r="C1123" s="35" t="n">
        <v>3043</v>
      </c>
      <c r="D1123" s="35" t="n">
        <v>160</v>
      </c>
      <c r="E1123" s="35" t="n">
        <v>4</v>
      </c>
      <c r="F1123" s="35" t="n">
        <v>5</v>
      </c>
      <c r="G1123" s="35" t="n">
        <v>16660</v>
      </c>
      <c r="H1123" s="35" t="n">
        <v>2596</v>
      </c>
      <c r="I1123" s="28" t="str">
        <f aca="false">INDEX(Campaigns!$C$2:$C$31,MATCH(B1123,Campaigns!$A$2:$A$31,0))</f>
        <v>Google Search Ads</v>
      </c>
      <c r="J1123" s="40" t="n">
        <f aca="false">DATE(YEAR(A1123),MONTH(A1123),1)</f>
        <v>46266</v>
      </c>
    </row>
    <row r="1124" customFormat="false" ht="15" hidden="false" customHeight="false" outlineLevel="0" collapsed="false">
      <c r="A1124" s="34" t="n">
        <v>46275</v>
      </c>
      <c r="B1124" s="28" t="s">
        <v>124</v>
      </c>
      <c r="C1124" s="35" t="n">
        <v>6718</v>
      </c>
      <c r="D1124" s="35" t="n">
        <v>174</v>
      </c>
      <c r="E1124" s="35" t="n">
        <v>9</v>
      </c>
      <c r="F1124" s="35" t="n">
        <v>1</v>
      </c>
      <c r="G1124" s="35" t="n">
        <v>2910</v>
      </c>
      <c r="H1124" s="35" t="n">
        <v>2257</v>
      </c>
      <c r="I1124" s="28" t="str">
        <f aca="false">INDEX(Campaigns!$C$2:$C$31,MATCH(B1124,Campaigns!$A$2:$A$31,0))</f>
        <v>Email</v>
      </c>
      <c r="J1124" s="40" t="n">
        <f aca="false">DATE(YEAR(A1124),MONTH(A1124),1)</f>
        <v>46266</v>
      </c>
    </row>
    <row r="1125" customFormat="false" ht="15" hidden="false" customHeight="false" outlineLevel="0" collapsed="false">
      <c r="A1125" s="34" t="n">
        <v>46275</v>
      </c>
      <c r="B1125" s="28" t="s">
        <v>138</v>
      </c>
      <c r="C1125" s="35" t="n">
        <v>3204</v>
      </c>
      <c r="D1125" s="35" t="n">
        <v>132</v>
      </c>
      <c r="E1125" s="35" t="n">
        <v>5</v>
      </c>
      <c r="F1125" s="35" t="n">
        <v>3</v>
      </c>
      <c r="G1125" s="35" t="n">
        <v>9640</v>
      </c>
      <c r="H1125" s="35" t="n">
        <v>4187</v>
      </c>
      <c r="I1125" s="28" t="str">
        <f aca="false">INDEX(Campaigns!$C$2:$C$31,MATCH(B1125,Campaigns!$A$2:$A$31,0))</f>
        <v>WhatsApp Broadcast</v>
      </c>
      <c r="J1125" s="40" t="n">
        <f aca="false">DATE(YEAR(A1125),MONTH(A1125),1)</f>
        <v>46266</v>
      </c>
    </row>
    <row r="1126" customFormat="false" ht="15" hidden="false" customHeight="false" outlineLevel="0" collapsed="false">
      <c r="A1126" s="34" t="n">
        <v>46275</v>
      </c>
      <c r="B1126" s="28" t="s">
        <v>139</v>
      </c>
      <c r="C1126" s="35" t="n">
        <v>15197</v>
      </c>
      <c r="D1126" s="35" t="n">
        <v>159</v>
      </c>
      <c r="E1126" s="35" t="n">
        <v>1</v>
      </c>
      <c r="F1126" s="35" t="n">
        <v>1</v>
      </c>
      <c r="G1126" s="35" t="n">
        <v>3260</v>
      </c>
      <c r="H1126" s="35" t="n">
        <v>2872</v>
      </c>
      <c r="I1126" s="28" t="str">
        <f aca="false">INDEX(Campaigns!$C$2:$C$31,MATCH(B1126,Campaigns!$A$2:$A$31,0))</f>
        <v>TikTok Ads</v>
      </c>
      <c r="J1126" s="40" t="n">
        <f aca="false">DATE(YEAR(A1126),MONTH(A1126),1)</f>
        <v>46266</v>
      </c>
    </row>
    <row r="1127" customFormat="false" ht="15" hidden="false" customHeight="false" outlineLevel="0" collapsed="false">
      <c r="A1127" s="34" t="n">
        <v>46275</v>
      </c>
      <c r="B1127" s="28" t="s">
        <v>141</v>
      </c>
      <c r="C1127" s="35" t="n">
        <v>7176</v>
      </c>
      <c r="D1127" s="35" t="n">
        <v>244</v>
      </c>
      <c r="E1127" s="35" t="n">
        <v>9</v>
      </c>
      <c r="F1127" s="35" t="n">
        <v>14</v>
      </c>
      <c r="G1127" s="35" t="n">
        <v>44610</v>
      </c>
      <c r="H1127" s="35" t="n">
        <v>2723</v>
      </c>
      <c r="I1127" s="28" t="str">
        <f aca="false">INDEX(Campaigns!$C$2:$C$31,MATCH(B1127,Campaigns!$A$2:$A$31,0))</f>
        <v>Email</v>
      </c>
      <c r="J1127" s="40" t="n">
        <f aca="false">DATE(YEAR(A1127),MONTH(A1127),1)</f>
        <v>46266</v>
      </c>
    </row>
    <row r="1128" customFormat="false" ht="15" hidden="false" customHeight="false" outlineLevel="0" collapsed="false">
      <c r="A1128" s="34" t="n">
        <v>46275</v>
      </c>
      <c r="B1128" s="28" t="s">
        <v>143</v>
      </c>
      <c r="C1128" s="35" t="n">
        <v>20786</v>
      </c>
      <c r="D1128" s="35" t="n">
        <v>1011</v>
      </c>
      <c r="E1128" s="35" t="n">
        <v>51</v>
      </c>
      <c r="F1128" s="35" t="n">
        <v>46</v>
      </c>
      <c r="G1128" s="35" t="n">
        <v>165270</v>
      </c>
      <c r="H1128" s="35" t="n">
        <v>19428</v>
      </c>
      <c r="I1128" s="28" t="str">
        <f aca="false">INDEX(Campaigns!$C$2:$C$31,MATCH(B1128,Campaigns!$A$2:$A$31,0))</f>
        <v>Google Search Ads</v>
      </c>
      <c r="J1128" s="40" t="n">
        <f aca="false">DATE(YEAR(A1128),MONTH(A1128),1)</f>
        <v>46266</v>
      </c>
    </row>
    <row r="1129" customFormat="false" ht="15" hidden="false" customHeight="false" outlineLevel="0" collapsed="false">
      <c r="A1129" s="34" t="n">
        <v>46275</v>
      </c>
      <c r="B1129" s="28" t="s">
        <v>147</v>
      </c>
      <c r="C1129" s="35" t="n">
        <v>20725</v>
      </c>
      <c r="D1129" s="35" t="n">
        <v>287</v>
      </c>
      <c r="E1129" s="35" t="n">
        <v>2</v>
      </c>
      <c r="F1129" s="35" t="n">
        <v>1</v>
      </c>
      <c r="G1129" s="35" t="n">
        <v>3180</v>
      </c>
      <c r="H1129" s="35" t="n">
        <v>5717</v>
      </c>
      <c r="I1129" s="28" t="str">
        <f aca="false">INDEX(Campaigns!$C$2:$C$31,MATCH(B1129,Campaigns!$A$2:$A$31,0))</f>
        <v>Facebook &amp; Instagram Ads</v>
      </c>
      <c r="J1129" s="40" t="n">
        <f aca="false">DATE(YEAR(A1129),MONTH(A1129),1)</f>
        <v>46266</v>
      </c>
    </row>
    <row r="1130" customFormat="false" ht="15" hidden="false" customHeight="false" outlineLevel="0" collapsed="false">
      <c r="A1130" s="34" t="n">
        <v>46275</v>
      </c>
      <c r="B1130" s="28" t="s">
        <v>152</v>
      </c>
      <c r="C1130" s="35" t="n">
        <v>7384</v>
      </c>
      <c r="D1130" s="35" t="n">
        <v>76</v>
      </c>
      <c r="E1130" s="35" t="n">
        <v>2</v>
      </c>
      <c r="F1130" s="35" t="n">
        <v>2</v>
      </c>
      <c r="G1130" s="35" t="n">
        <v>6410</v>
      </c>
      <c r="H1130" s="35" t="n">
        <v>4633</v>
      </c>
      <c r="I1130" s="28" t="str">
        <f aca="false">INDEX(Campaigns!$C$2:$C$31,MATCH(B1130,Campaigns!$A$2:$A$31,0))</f>
        <v>Influencer Partnerships</v>
      </c>
      <c r="J1130" s="40" t="n">
        <f aca="false">DATE(YEAR(A1130),MONTH(A1130),1)</f>
        <v>46266</v>
      </c>
    </row>
    <row r="1131" customFormat="false" ht="15" hidden="false" customHeight="false" outlineLevel="0" collapsed="false">
      <c r="A1131" s="34" t="n">
        <v>46275</v>
      </c>
      <c r="B1131" s="28" t="s">
        <v>154</v>
      </c>
      <c r="C1131" s="35" t="n">
        <v>5048</v>
      </c>
      <c r="D1131" s="35" t="n">
        <v>55</v>
      </c>
      <c r="E1131" s="35" t="n">
        <v>1</v>
      </c>
      <c r="F1131" s="35" t="n">
        <v>0</v>
      </c>
      <c r="G1131" s="35" t="n">
        <v>0</v>
      </c>
      <c r="H1131" s="35" t="n">
        <v>3094</v>
      </c>
      <c r="I1131" s="28" t="str">
        <f aca="false">INDEX(Campaigns!$C$2:$C$31,MATCH(B1131,Campaigns!$A$2:$A$31,0))</f>
        <v>Influencer Partnerships</v>
      </c>
      <c r="J1131" s="40" t="n">
        <f aca="false">DATE(YEAR(A1131),MONTH(A1131),1)</f>
        <v>46266</v>
      </c>
    </row>
    <row r="1132" customFormat="false" ht="15" hidden="false" customHeight="false" outlineLevel="0" collapsed="false">
      <c r="A1132" s="34" t="n">
        <v>46275</v>
      </c>
      <c r="B1132" s="28" t="s">
        <v>158</v>
      </c>
      <c r="C1132" s="35" t="n">
        <v>17963</v>
      </c>
      <c r="D1132" s="35" t="n">
        <v>156</v>
      </c>
      <c r="E1132" s="35" t="n">
        <v>22</v>
      </c>
      <c r="F1132" s="35" t="n">
        <v>2</v>
      </c>
      <c r="G1132" s="35" t="n">
        <v>8780</v>
      </c>
      <c r="H1132" s="35" t="n">
        <v>10509</v>
      </c>
      <c r="I1132" s="28" t="str">
        <f aca="false">INDEX(Campaigns!$C$2:$C$31,MATCH(B1132,Campaigns!$A$2:$A$31,0))</f>
        <v>Influencer Partnerships</v>
      </c>
      <c r="J1132" s="40" t="n">
        <f aca="false">DATE(YEAR(A1132),MONTH(A1132),1)</f>
        <v>46266</v>
      </c>
    </row>
    <row r="1133" customFormat="false" ht="15" hidden="false" customHeight="false" outlineLevel="0" collapsed="false">
      <c r="A1133" s="34" t="n">
        <v>46275</v>
      </c>
      <c r="B1133" s="28" t="s">
        <v>159</v>
      </c>
      <c r="C1133" s="35" t="n">
        <v>28569</v>
      </c>
      <c r="D1133" s="35" t="n">
        <v>396</v>
      </c>
      <c r="E1133" s="35" t="n">
        <v>44</v>
      </c>
      <c r="F1133" s="35" t="n">
        <v>8</v>
      </c>
      <c r="G1133" s="35" t="n">
        <v>25070</v>
      </c>
      <c r="H1133" s="35" t="n">
        <v>6971</v>
      </c>
      <c r="I1133" s="28" t="str">
        <f aca="false">INDEX(Campaigns!$C$2:$C$31,MATCH(B1133,Campaigns!$A$2:$A$31,0))</f>
        <v>Facebook &amp; Instagram Ads</v>
      </c>
      <c r="J1133" s="40" t="n">
        <f aca="false">DATE(YEAR(A1133),MONTH(A1133),1)</f>
        <v>46266</v>
      </c>
    </row>
    <row r="1134" customFormat="false" ht="15" hidden="false" customHeight="false" outlineLevel="0" collapsed="false">
      <c r="A1134" s="34" t="n">
        <v>46275</v>
      </c>
      <c r="B1134" s="28" t="s">
        <v>161</v>
      </c>
      <c r="C1134" s="35" t="n">
        <v>33890</v>
      </c>
      <c r="D1134" s="35" t="n">
        <v>447</v>
      </c>
      <c r="E1134" s="35" t="n">
        <v>11</v>
      </c>
      <c r="F1134" s="35" t="n">
        <v>1</v>
      </c>
      <c r="G1134" s="35" t="n">
        <v>3110</v>
      </c>
      <c r="H1134" s="35" t="n">
        <v>9285</v>
      </c>
      <c r="I1134" s="28" t="str">
        <f aca="false">INDEX(Campaigns!$C$2:$C$31,MATCH(B1134,Campaigns!$A$2:$A$31,0))</f>
        <v>Facebook &amp; Instagram Ads</v>
      </c>
      <c r="J1134" s="40" t="n">
        <f aca="false">DATE(YEAR(A1134),MONTH(A1134),1)</f>
        <v>46266</v>
      </c>
    </row>
    <row r="1135" customFormat="false" ht="15" hidden="false" customHeight="false" outlineLevel="0" collapsed="false">
      <c r="A1135" s="34" t="n">
        <v>46276</v>
      </c>
      <c r="B1135" s="28" t="s">
        <v>105</v>
      </c>
      <c r="C1135" s="35" t="n">
        <v>5728</v>
      </c>
      <c r="D1135" s="35" t="n">
        <v>240</v>
      </c>
      <c r="E1135" s="35" t="n">
        <v>9</v>
      </c>
      <c r="F1135" s="35" t="n">
        <v>11</v>
      </c>
      <c r="G1135" s="35" t="n">
        <v>43500</v>
      </c>
      <c r="H1135" s="35" t="n">
        <v>4987</v>
      </c>
      <c r="I1135" s="28" t="str">
        <f aca="false">INDEX(Campaigns!$C$2:$C$31,MATCH(B1135,Campaigns!$A$2:$A$31,0))</f>
        <v>Google Search Ads</v>
      </c>
      <c r="J1135" s="40" t="n">
        <f aca="false">DATE(YEAR(A1135),MONTH(A1135),1)</f>
        <v>46266</v>
      </c>
    </row>
    <row r="1136" customFormat="false" ht="15" hidden="false" customHeight="false" outlineLevel="0" collapsed="false">
      <c r="A1136" s="34" t="n">
        <v>46276</v>
      </c>
      <c r="B1136" s="28" t="s">
        <v>110</v>
      </c>
      <c r="C1136" s="35" t="n">
        <v>16935</v>
      </c>
      <c r="D1136" s="35" t="n">
        <v>148</v>
      </c>
      <c r="E1136" s="35" t="n">
        <v>29</v>
      </c>
      <c r="F1136" s="35" t="n">
        <v>1</v>
      </c>
      <c r="G1136" s="35" t="n">
        <v>3050</v>
      </c>
      <c r="H1136" s="35" t="n">
        <v>10924</v>
      </c>
      <c r="I1136" s="28" t="str">
        <f aca="false">INDEX(Campaigns!$C$2:$C$31,MATCH(B1136,Campaigns!$A$2:$A$31,0))</f>
        <v>Influencer Partnerships</v>
      </c>
      <c r="J1136" s="40" t="n">
        <f aca="false">DATE(YEAR(A1136),MONTH(A1136),1)</f>
        <v>46266</v>
      </c>
    </row>
    <row r="1137" customFormat="false" ht="15" hidden="false" customHeight="false" outlineLevel="0" collapsed="false">
      <c r="A1137" s="34" t="n">
        <v>46276</v>
      </c>
      <c r="B1137" s="28" t="s">
        <v>114</v>
      </c>
      <c r="C1137" s="35" t="n">
        <v>869</v>
      </c>
      <c r="D1137" s="35" t="n">
        <v>53</v>
      </c>
      <c r="E1137" s="35" t="n">
        <v>2</v>
      </c>
      <c r="F1137" s="35" t="n">
        <v>3</v>
      </c>
      <c r="G1137" s="35" t="n">
        <v>7130</v>
      </c>
      <c r="H1137" s="35" t="n">
        <v>1259</v>
      </c>
      <c r="I1137" s="28" t="str">
        <f aca="false">INDEX(Campaigns!$C$2:$C$31,MATCH(B1137,Campaigns!$A$2:$A$31,0))</f>
        <v>WhatsApp Broadcast</v>
      </c>
      <c r="J1137" s="40" t="n">
        <f aca="false">DATE(YEAR(A1137),MONTH(A1137),1)</f>
        <v>46266</v>
      </c>
    </row>
    <row r="1138" customFormat="false" ht="15" hidden="false" customHeight="false" outlineLevel="0" collapsed="false">
      <c r="A1138" s="34" t="n">
        <v>46276</v>
      </c>
      <c r="B1138" s="28" t="s">
        <v>116</v>
      </c>
      <c r="C1138" s="35" t="n">
        <v>26356</v>
      </c>
      <c r="D1138" s="35" t="n">
        <v>305</v>
      </c>
      <c r="E1138" s="35" t="n">
        <v>12</v>
      </c>
      <c r="F1138" s="35" t="n">
        <v>6</v>
      </c>
      <c r="G1138" s="35" t="n">
        <v>18930</v>
      </c>
      <c r="H1138" s="35" t="n">
        <v>6876</v>
      </c>
      <c r="I1138" s="28" t="str">
        <f aca="false">INDEX(Campaigns!$C$2:$C$31,MATCH(B1138,Campaigns!$A$2:$A$31,0))</f>
        <v>Facebook &amp; Instagram Ads</v>
      </c>
      <c r="J1138" s="40" t="n">
        <f aca="false">DATE(YEAR(A1138),MONTH(A1138),1)</f>
        <v>46266</v>
      </c>
    </row>
    <row r="1139" customFormat="false" ht="15" hidden="false" customHeight="false" outlineLevel="0" collapsed="false">
      <c r="A1139" s="34" t="n">
        <v>46276</v>
      </c>
      <c r="B1139" s="28" t="s">
        <v>118</v>
      </c>
      <c r="C1139" s="35" t="n">
        <v>2782</v>
      </c>
      <c r="D1139" s="35" t="n">
        <v>119</v>
      </c>
      <c r="E1139" s="35" t="n">
        <v>6</v>
      </c>
      <c r="F1139" s="35" t="n">
        <v>7</v>
      </c>
      <c r="G1139" s="35" t="n">
        <v>26690</v>
      </c>
      <c r="H1139" s="35" t="n">
        <v>2503</v>
      </c>
      <c r="I1139" s="28" t="str">
        <f aca="false">INDEX(Campaigns!$C$2:$C$31,MATCH(B1139,Campaigns!$A$2:$A$31,0))</f>
        <v>Google Search Ads</v>
      </c>
      <c r="J1139" s="40" t="n">
        <f aca="false">DATE(YEAR(A1139),MONTH(A1139),1)</f>
        <v>46266</v>
      </c>
    </row>
    <row r="1140" customFormat="false" ht="15" hidden="false" customHeight="false" outlineLevel="0" collapsed="false">
      <c r="A1140" s="34" t="n">
        <v>46276</v>
      </c>
      <c r="B1140" s="28" t="s">
        <v>124</v>
      </c>
      <c r="C1140" s="35" t="n">
        <v>8879</v>
      </c>
      <c r="D1140" s="35" t="n">
        <v>207</v>
      </c>
      <c r="E1140" s="35" t="n">
        <v>8</v>
      </c>
      <c r="F1140" s="35" t="n">
        <v>5</v>
      </c>
      <c r="G1140" s="35" t="n">
        <v>15580</v>
      </c>
      <c r="H1140" s="35" t="n">
        <v>3048</v>
      </c>
      <c r="I1140" s="28" t="str">
        <f aca="false">INDEX(Campaigns!$C$2:$C$31,MATCH(B1140,Campaigns!$A$2:$A$31,0))</f>
        <v>Email</v>
      </c>
      <c r="J1140" s="40" t="n">
        <f aca="false">DATE(YEAR(A1140),MONTH(A1140),1)</f>
        <v>46266</v>
      </c>
    </row>
    <row r="1141" customFormat="false" ht="15" hidden="false" customHeight="false" outlineLevel="0" collapsed="false">
      <c r="A1141" s="34" t="n">
        <v>46276</v>
      </c>
      <c r="B1141" s="28" t="s">
        <v>132</v>
      </c>
      <c r="C1141" s="35" t="n">
        <v>33692</v>
      </c>
      <c r="D1141" s="35" t="n">
        <v>420</v>
      </c>
      <c r="E1141" s="35" t="n">
        <v>54</v>
      </c>
      <c r="F1141" s="35" t="n">
        <v>4</v>
      </c>
      <c r="G1141" s="35" t="n">
        <v>14590</v>
      </c>
      <c r="H1141" s="35" t="n">
        <v>8894</v>
      </c>
      <c r="I1141" s="28" t="str">
        <f aca="false">INDEX(Campaigns!$C$2:$C$31,MATCH(B1141,Campaigns!$A$2:$A$31,0))</f>
        <v>Facebook &amp; Instagram Ads</v>
      </c>
      <c r="J1141" s="40" t="n">
        <f aca="false">DATE(YEAR(A1141),MONTH(A1141),1)</f>
        <v>46266</v>
      </c>
    </row>
    <row r="1142" customFormat="false" ht="15" hidden="false" customHeight="false" outlineLevel="0" collapsed="false">
      <c r="A1142" s="34" t="n">
        <v>46276</v>
      </c>
      <c r="B1142" s="28" t="s">
        <v>138</v>
      </c>
      <c r="C1142" s="35" t="n">
        <v>3413</v>
      </c>
      <c r="D1142" s="35" t="n">
        <v>144</v>
      </c>
      <c r="E1142" s="35" t="n">
        <v>1</v>
      </c>
      <c r="F1142" s="35" t="n">
        <v>2</v>
      </c>
      <c r="G1142" s="35" t="n">
        <v>7380</v>
      </c>
      <c r="H1142" s="35" t="n">
        <v>4350</v>
      </c>
      <c r="I1142" s="28" t="str">
        <f aca="false">INDEX(Campaigns!$C$2:$C$31,MATCH(B1142,Campaigns!$A$2:$A$31,0))</f>
        <v>WhatsApp Broadcast</v>
      </c>
      <c r="J1142" s="40" t="n">
        <f aca="false">DATE(YEAR(A1142),MONTH(A1142),1)</f>
        <v>46266</v>
      </c>
    </row>
    <row r="1143" customFormat="false" ht="15" hidden="false" customHeight="false" outlineLevel="0" collapsed="false">
      <c r="A1143" s="34" t="n">
        <v>46276</v>
      </c>
      <c r="B1143" s="28" t="s">
        <v>139</v>
      </c>
      <c r="C1143" s="35" t="n">
        <v>21956</v>
      </c>
      <c r="D1143" s="35" t="n">
        <v>221</v>
      </c>
      <c r="E1143" s="35" t="n">
        <v>8</v>
      </c>
      <c r="F1143" s="35" t="n">
        <v>5</v>
      </c>
      <c r="G1143" s="35" t="n">
        <v>13430</v>
      </c>
      <c r="H1143" s="35" t="n">
        <v>3644</v>
      </c>
      <c r="I1143" s="28" t="str">
        <f aca="false">INDEX(Campaigns!$C$2:$C$31,MATCH(B1143,Campaigns!$A$2:$A$31,0))</f>
        <v>TikTok Ads</v>
      </c>
      <c r="J1143" s="40" t="n">
        <f aca="false">DATE(YEAR(A1143),MONTH(A1143),1)</f>
        <v>46266</v>
      </c>
    </row>
    <row r="1144" customFormat="false" ht="15" hidden="false" customHeight="false" outlineLevel="0" collapsed="false">
      <c r="A1144" s="34" t="n">
        <v>46276</v>
      </c>
      <c r="B1144" s="28" t="s">
        <v>141</v>
      </c>
      <c r="C1144" s="35" t="n">
        <v>8373</v>
      </c>
      <c r="D1144" s="35" t="n">
        <v>274</v>
      </c>
      <c r="E1144" s="35" t="n">
        <v>11</v>
      </c>
      <c r="F1144" s="35" t="n">
        <v>9</v>
      </c>
      <c r="G1144" s="35" t="n">
        <v>26820</v>
      </c>
      <c r="H1144" s="35" t="n">
        <v>2774</v>
      </c>
      <c r="I1144" s="28" t="str">
        <f aca="false">INDEX(Campaigns!$C$2:$C$31,MATCH(B1144,Campaigns!$A$2:$A$31,0))</f>
        <v>Email</v>
      </c>
      <c r="J1144" s="40" t="n">
        <f aca="false">DATE(YEAR(A1144),MONTH(A1144),1)</f>
        <v>46266</v>
      </c>
    </row>
    <row r="1145" customFormat="false" ht="15" hidden="false" customHeight="false" outlineLevel="0" collapsed="false">
      <c r="A1145" s="34" t="n">
        <v>46276</v>
      </c>
      <c r="B1145" s="28" t="s">
        <v>143</v>
      </c>
      <c r="C1145" s="35" t="n">
        <v>26381</v>
      </c>
      <c r="D1145" s="35" t="n">
        <v>1251</v>
      </c>
      <c r="E1145" s="35" t="n">
        <v>46</v>
      </c>
      <c r="F1145" s="35" t="n">
        <v>47</v>
      </c>
      <c r="G1145" s="35" t="n">
        <v>172050</v>
      </c>
      <c r="H1145" s="35" t="n">
        <v>23804</v>
      </c>
      <c r="I1145" s="28" t="str">
        <f aca="false">INDEX(Campaigns!$C$2:$C$31,MATCH(B1145,Campaigns!$A$2:$A$31,0))</f>
        <v>Google Search Ads</v>
      </c>
      <c r="J1145" s="40" t="n">
        <f aca="false">DATE(YEAR(A1145),MONTH(A1145),1)</f>
        <v>46266</v>
      </c>
    </row>
    <row r="1146" customFormat="false" ht="15" hidden="false" customHeight="false" outlineLevel="0" collapsed="false">
      <c r="A1146" s="34" t="n">
        <v>46276</v>
      </c>
      <c r="B1146" s="28" t="s">
        <v>147</v>
      </c>
      <c r="C1146" s="35" t="n">
        <v>21591</v>
      </c>
      <c r="D1146" s="35" t="n">
        <v>297</v>
      </c>
      <c r="E1146" s="35" t="n">
        <v>4</v>
      </c>
      <c r="F1146" s="35" t="n">
        <v>0</v>
      </c>
      <c r="G1146" s="35" t="n">
        <v>0</v>
      </c>
      <c r="H1146" s="35" t="n">
        <v>5739</v>
      </c>
      <c r="I1146" s="28" t="str">
        <f aca="false">INDEX(Campaigns!$C$2:$C$31,MATCH(B1146,Campaigns!$A$2:$A$31,0))</f>
        <v>Facebook &amp; Instagram Ads</v>
      </c>
      <c r="J1146" s="40" t="n">
        <f aca="false">DATE(YEAR(A1146),MONTH(A1146),1)</f>
        <v>46266</v>
      </c>
    </row>
    <row r="1147" customFormat="false" ht="15" hidden="false" customHeight="false" outlineLevel="0" collapsed="false">
      <c r="A1147" s="34" t="n">
        <v>46276</v>
      </c>
      <c r="B1147" s="28" t="s">
        <v>154</v>
      </c>
      <c r="C1147" s="35" t="n">
        <v>6329</v>
      </c>
      <c r="D1147" s="35" t="n">
        <v>63</v>
      </c>
      <c r="E1147" s="35" t="n">
        <v>2</v>
      </c>
      <c r="F1147" s="35" t="n">
        <v>0</v>
      </c>
      <c r="G1147" s="35" t="n">
        <v>0</v>
      </c>
      <c r="H1147" s="35" t="n">
        <v>4166</v>
      </c>
      <c r="I1147" s="28" t="str">
        <f aca="false">INDEX(Campaigns!$C$2:$C$31,MATCH(B1147,Campaigns!$A$2:$A$31,0))</f>
        <v>Influencer Partnerships</v>
      </c>
      <c r="J1147" s="40" t="n">
        <f aca="false">DATE(YEAR(A1147),MONTH(A1147),1)</f>
        <v>46266</v>
      </c>
    </row>
    <row r="1148" customFormat="false" ht="15" hidden="false" customHeight="false" outlineLevel="0" collapsed="false">
      <c r="A1148" s="34" t="n">
        <v>46276</v>
      </c>
      <c r="B1148" s="28" t="s">
        <v>158</v>
      </c>
      <c r="C1148" s="35" t="n">
        <v>17077</v>
      </c>
      <c r="D1148" s="35" t="n">
        <v>160</v>
      </c>
      <c r="E1148" s="35" t="n">
        <v>28</v>
      </c>
      <c r="F1148" s="35" t="n">
        <v>3</v>
      </c>
      <c r="G1148" s="35" t="n">
        <v>9610</v>
      </c>
      <c r="H1148" s="35" t="n">
        <v>10670</v>
      </c>
      <c r="I1148" s="28" t="str">
        <f aca="false">INDEX(Campaigns!$C$2:$C$31,MATCH(B1148,Campaigns!$A$2:$A$31,0))</f>
        <v>Influencer Partnerships</v>
      </c>
      <c r="J1148" s="40" t="n">
        <f aca="false">DATE(YEAR(A1148),MONTH(A1148),1)</f>
        <v>46266</v>
      </c>
    </row>
    <row r="1149" customFormat="false" ht="15" hidden="false" customHeight="false" outlineLevel="0" collapsed="false">
      <c r="A1149" s="34" t="n">
        <v>46276</v>
      </c>
      <c r="B1149" s="28" t="s">
        <v>161</v>
      </c>
      <c r="C1149" s="35" t="n">
        <v>54625</v>
      </c>
      <c r="D1149" s="35" t="n">
        <v>709</v>
      </c>
      <c r="E1149" s="35" t="n">
        <v>12</v>
      </c>
      <c r="F1149" s="35" t="n">
        <v>2</v>
      </c>
      <c r="G1149" s="35" t="n">
        <v>7090</v>
      </c>
      <c r="H1149" s="35" t="n">
        <v>12977</v>
      </c>
      <c r="I1149" s="28" t="str">
        <f aca="false">INDEX(Campaigns!$C$2:$C$31,MATCH(B1149,Campaigns!$A$2:$A$31,0))</f>
        <v>Facebook &amp; Instagram Ads</v>
      </c>
      <c r="J1149" s="40" t="n">
        <f aca="false">DATE(YEAR(A1149),MONTH(A1149),1)</f>
        <v>46266</v>
      </c>
    </row>
    <row r="1150" customFormat="false" ht="15" hidden="false" customHeight="false" outlineLevel="0" collapsed="false">
      <c r="A1150" s="34" t="n">
        <v>46277</v>
      </c>
      <c r="B1150" s="28" t="s">
        <v>110</v>
      </c>
      <c r="C1150" s="35" t="n">
        <v>14627</v>
      </c>
      <c r="D1150" s="35" t="n">
        <v>139</v>
      </c>
      <c r="E1150" s="35" t="n">
        <v>21</v>
      </c>
      <c r="F1150" s="35" t="n">
        <v>3</v>
      </c>
      <c r="G1150" s="35" t="n">
        <v>10010</v>
      </c>
      <c r="H1150" s="35" t="n">
        <v>8289</v>
      </c>
      <c r="I1150" s="28" t="str">
        <f aca="false">INDEX(Campaigns!$C$2:$C$31,MATCH(B1150,Campaigns!$A$2:$A$31,0))</f>
        <v>Influencer Partnerships</v>
      </c>
      <c r="J1150" s="40" t="n">
        <f aca="false">DATE(YEAR(A1150),MONTH(A1150),1)</f>
        <v>46266</v>
      </c>
    </row>
    <row r="1151" customFormat="false" ht="15" hidden="false" customHeight="false" outlineLevel="0" collapsed="false">
      <c r="A1151" s="34" t="n">
        <v>46277</v>
      </c>
      <c r="B1151" s="28" t="s">
        <v>114</v>
      </c>
      <c r="C1151" s="35" t="n">
        <v>898</v>
      </c>
      <c r="D1151" s="35" t="n">
        <v>64</v>
      </c>
      <c r="E1151" s="35" t="n">
        <v>1</v>
      </c>
      <c r="F1151" s="35" t="n">
        <v>3</v>
      </c>
      <c r="G1151" s="35" t="n">
        <v>8490</v>
      </c>
      <c r="H1151" s="35" t="n">
        <v>1211</v>
      </c>
      <c r="I1151" s="28" t="str">
        <f aca="false">INDEX(Campaigns!$C$2:$C$31,MATCH(B1151,Campaigns!$A$2:$A$31,0))</f>
        <v>WhatsApp Broadcast</v>
      </c>
      <c r="J1151" s="40" t="n">
        <f aca="false">DATE(YEAR(A1151),MONTH(A1151),1)</f>
        <v>46266</v>
      </c>
    </row>
    <row r="1152" customFormat="false" ht="15" hidden="false" customHeight="false" outlineLevel="0" collapsed="false">
      <c r="A1152" s="34" t="n">
        <v>46277</v>
      </c>
      <c r="B1152" s="28" t="s">
        <v>116</v>
      </c>
      <c r="C1152" s="35" t="n">
        <v>21776</v>
      </c>
      <c r="D1152" s="35" t="n">
        <v>273</v>
      </c>
      <c r="E1152" s="35" t="n">
        <v>10</v>
      </c>
      <c r="F1152" s="35" t="n">
        <v>2</v>
      </c>
      <c r="G1152" s="35" t="n">
        <v>6140</v>
      </c>
      <c r="H1152" s="35" t="n">
        <v>5791</v>
      </c>
      <c r="I1152" s="28" t="str">
        <f aca="false">INDEX(Campaigns!$C$2:$C$31,MATCH(B1152,Campaigns!$A$2:$A$31,0))</f>
        <v>Facebook &amp; Instagram Ads</v>
      </c>
      <c r="J1152" s="40" t="n">
        <f aca="false">DATE(YEAR(A1152),MONTH(A1152),1)</f>
        <v>46266</v>
      </c>
    </row>
    <row r="1153" customFormat="false" ht="15" hidden="false" customHeight="false" outlineLevel="0" collapsed="false">
      <c r="A1153" s="34" t="n">
        <v>46277</v>
      </c>
      <c r="B1153" s="28" t="s">
        <v>118</v>
      </c>
      <c r="C1153" s="35" t="n">
        <v>3032</v>
      </c>
      <c r="D1153" s="35" t="n">
        <v>155</v>
      </c>
      <c r="E1153" s="35" t="n">
        <v>8</v>
      </c>
      <c r="F1153" s="35" t="n">
        <v>8</v>
      </c>
      <c r="G1153" s="35" t="n">
        <v>27760</v>
      </c>
      <c r="H1153" s="35" t="n">
        <v>2534</v>
      </c>
      <c r="I1153" s="28" t="str">
        <f aca="false">INDEX(Campaigns!$C$2:$C$31,MATCH(B1153,Campaigns!$A$2:$A$31,0))</f>
        <v>Google Search Ads</v>
      </c>
      <c r="J1153" s="40" t="n">
        <f aca="false">DATE(YEAR(A1153),MONTH(A1153),1)</f>
        <v>46266</v>
      </c>
    </row>
    <row r="1154" customFormat="false" ht="15" hidden="false" customHeight="false" outlineLevel="0" collapsed="false">
      <c r="A1154" s="34" t="n">
        <v>46277</v>
      </c>
      <c r="B1154" s="28" t="s">
        <v>124</v>
      </c>
      <c r="C1154" s="35" t="n">
        <v>7271</v>
      </c>
      <c r="D1154" s="35" t="n">
        <v>168</v>
      </c>
      <c r="E1154" s="35" t="n">
        <v>11</v>
      </c>
      <c r="F1154" s="35" t="n">
        <v>6</v>
      </c>
      <c r="G1154" s="35" t="n">
        <v>19670</v>
      </c>
      <c r="H1154" s="35" t="n">
        <v>2787</v>
      </c>
      <c r="I1154" s="28" t="str">
        <f aca="false">INDEX(Campaigns!$C$2:$C$31,MATCH(B1154,Campaigns!$A$2:$A$31,0))</f>
        <v>Email</v>
      </c>
      <c r="J1154" s="40" t="n">
        <f aca="false">DATE(YEAR(A1154),MONTH(A1154),1)</f>
        <v>46266</v>
      </c>
    </row>
    <row r="1155" customFormat="false" ht="15" hidden="false" customHeight="false" outlineLevel="0" collapsed="false">
      <c r="A1155" s="34" t="n">
        <v>46277</v>
      </c>
      <c r="B1155" s="28" t="s">
        <v>132</v>
      </c>
      <c r="C1155" s="35" t="n">
        <v>37265</v>
      </c>
      <c r="D1155" s="35" t="n">
        <v>471</v>
      </c>
      <c r="E1155" s="35" t="n">
        <v>69</v>
      </c>
      <c r="F1155" s="35" t="n">
        <v>1</v>
      </c>
      <c r="G1155" s="35" t="n">
        <v>3690</v>
      </c>
      <c r="H1155" s="35" t="n">
        <v>9689</v>
      </c>
      <c r="I1155" s="28" t="str">
        <f aca="false">INDEX(Campaigns!$C$2:$C$31,MATCH(B1155,Campaigns!$A$2:$A$31,0))</f>
        <v>Facebook &amp; Instagram Ads</v>
      </c>
      <c r="J1155" s="40" t="n">
        <f aca="false">DATE(YEAR(A1155),MONTH(A1155),1)</f>
        <v>46266</v>
      </c>
    </row>
    <row r="1156" customFormat="false" ht="15" hidden="false" customHeight="false" outlineLevel="0" collapsed="false">
      <c r="A1156" s="34" t="n">
        <v>46277</v>
      </c>
      <c r="B1156" s="28" t="s">
        <v>138</v>
      </c>
      <c r="C1156" s="35" t="n">
        <v>3740</v>
      </c>
      <c r="D1156" s="35" t="n">
        <v>166</v>
      </c>
      <c r="E1156" s="35" t="n">
        <v>4</v>
      </c>
      <c r="F1156" s="35" t="n">
        <v>3</v>
      </c>
      <c r="G1156" s="35" t="n">
        <v>10560</v>
      </c>
      <c r="H1156" s="35" t="n">
        <v>5277</v>
      </c>
      <c r="I1156" s="28" t="str">
        <f aca="false">INDEX(Campaigns!$C$2:$C$31,MATCH(B1156,Campaigns!$A$2:$A$31,0))</f>
        <v>WhatsApp Broadcast</v>
      </c>
      <c r="J1156" s="40" t="n">
        <f aca="false">DATE(YEAR(A1156),MONTH(A1156),1)</f>
        <v>46266</v>
      </c>
    </row>
    <row r="1157" customFormat="false" ht="15" hidden="false" customHeight="false" outlineLevel="0" collapsed="false">
      <c r="A1157" s="34" t="n">
        <v>46277</v>
      </c>
      <c r="B1157" s="28" t="s">
        <v>139</v>
      </c>
      <c r="C1157" s="35" t="n">
        <v>16360</v>
      </c>
      <c r="D1157" s="35" t="n">
        <v>173</v>
      </c>
      <c r="E1157" s="35" t="n">
        <v>11</v>
      </c>
      <c r="F1157" s="35" t="n">
        <v>2</v>
      </c>
      <c r="G1157" s="35" t="n">
        <v>4280</v>
      </c>
      <c r="H1157" s="35" t="n">
        <v>3152</v>
      </c>
      <c r="I1157" s="28" t="str">
        <f aca="false">INDEX(Campaigns!$C$2:$C$31,MATCH(B1157,Campaigns!$A$2:$A$31,0))</f>
        <v>TikTok Ads</v>
      </c>
      <c r="J1157" s="40" t="n">
        <f aca="false">DATE(YEAR(A1157),MONTH(A1157),1)</f>
        <v>46266</v>
      </c>
    </row>
    <row r="1158" customFormat="false" ht="15" hidden="false" customHeight="false" outlineLevel="0" collapsed="false">
      <c r="A1158" s="34" t="n">
        <v>46277</v>
      </c>
      <c r="B1158" s="28" t="s">
        <v>141</v>
      </c>
      <c r="C1158" s="35" t="n">
        <v>6714</v>
      </c>
      <c r="D1158" s="35" t="n">
        <v>200</v>
      </c>
      <c r="E1158" s="35" t="n">
        <v>6</v>
      </c>
      <c r="F1158" s="35" t="n">
        <v>8</v>
      </c>
      <c r="G1158" s="35" t="n">
        <v>24390</v>
      </c>
      <c r="H1158" s="35" t="n">
        <v>2399</v>
      </c>
      <c r="I1158" s="28" t="str">
        <f aca="false">INDEX(Campaigns!$C$2:$C$31,MATCH(B1158,Campaigns!$A$2:$A$31,0))</f>
        <v>Email</v>
      </c>
      <c r="J1158" s="40" t="n">
        <f aca="false">DATE(YEAR(A1158),MONTH(A1158),1)</f>
        <v>46266</v>
      </c>
    </row>
    <row r="1159" customFormat="false" ht="15" hidden="false" customHeight="false" outlineLevel="0" collapsed="false">
      <c r="A1159" s="34" t="n">
        <v>46277</v>
      </c>
      <c r="B1159" s="28" t="s">
        <v>143</v>
      </c>
      <c r="C1159" s="35" t="n">
        <v>26731</v>
      </c>
      <c r="D1159" s="35" t="n">
        <v>1323</v>
      </c>
      <c r="E1159" s="35" t="n">
        <v>62</v>
      </c>
      <c r="F1159" s="35" t="n">
        <v>58</v>
      </c>
      <c r="G1159" s="35" t="n">
        <v>204780</v>
      </c>
      <c r="H1159" s="35" t="n">
        <v>22317</v>
      </c>
      <c r="I1159" s="28" t="str">
        <f aca="false">INDEX(Campaigns!$C$2:$C$31,MATCH(B1159,Campaigns!$A$2:$A$31,0))</f>
        <v>Google Search Ads</v>
      </c>
      <c r="J1159" s="40" t="n">
        <f aca="false">DATE(YEAR(A1159),MONTH(A1159),1)</f>
        <v>46266</v>
      </c>
    </row>
    <row r="1160" customFormat="false" ht="15" hidden="false" customHeight="false" outlineLevel="0" collapsed="false">
      <c r="A1160" s="34" t="n">
        <v>46277</v>
      </c>
      <c r="B1160" s="28" t="s">
        <v>147</v>
      </c>
      <c r="C1160" s="35" t="n">
        <v>21901</v>
      </c>
      <c r="D1160" s="35" t="n">
        <v>303</v>
      </c>
      <c r="E1160" s="35" t="n">
        <v>3</v>
      </c>
      <c r="F1160" s="35" t="n">
        <v>1</v>
      </c>
      <c r="G1160" s="35" t="n">
        <v>2680</v>
      </c>
      <c r="H1160" s="35" t="n">
        <v>5830</v>
      </c>
      <c r="I1160" s="28" t="str">
        <f aca="false">INDEX(Campaigns!$C$2:$C$31,MATCH(B1160,Campaigns!$A$2:$A$31,0))</f>
        <v>Facebook &amp; Instagram Ads</v>
      </c>
      <c r="J1160" s="40" t="n">
        <f aca="false">DATE(YEAR(A1160),MONTH(A1160),1)</f>
        <v>46266</v>
      </c>
    </row>
    <row r="1161" customFormat="false" ht="15" hidden="false" customHeight="false" outlineLevel="0" collapsed="false">
      <c r="A1161" s="34" t="n">
        <v>46277</v>
      </c>
      <c r="B1161" s="28" t="s">
        <v>152</v>
      </c>
      <c r="C1161" s="35" t="n">
        <v>9142</v>
      </c>
      <c r="D1161" s="35" t="n">
        <v>87</v>
      </c>
      <c r="E1161" s="35" t="n">
        <v>5</v>
      </c>
      <c r="F1161" s="35" t="n">
        <v>0</v>
      </c>
      <c r="G1161" s="35" t="n">
        <v>0</v>
      </c>
      <c r="H1161" s="35" t="n">
        <v>5267</v>
      </c>
      <c r="I1161" s="28" t="str">
        <f aca="false">INDEX(Campaigns!$C$2:$C$31,MATCH(B1161,Campaigns!$A$2:$A$31,0))</f>
        <v>Influencer Partnerships</v>
      </c>
      <c r="J1161" s="40" t="n">
        <f aca="false">DATE(YEAR(A1161),MONTH(A1161),1)</f>
        <v>46266</v>
      </c>
    </row>
    <row r="1162" customFormat="false" ht="15" hidden="false" customHeight="false" outlineLevel="0" collapsed="false">
      <c r="A1162" s="34" t="n">
        <v>46277</v>
      </c>
      <c r="B1162" s="28" t="s">
        <v>154</v>
      </c>
      <c r="C1162" s="35" t="n">
        <v>7888</v>
      </c>
      <c r="D1162" s="35" t="n">
        <v>81</v>
      </c>
      <c r="E1162" s="35" t="n">
        <v>3</v>
      </c>
      <c r="F1162" s="35" t="n">
        <v>2</v>
      </c>
      <c r="G1162" s="35" t="n">
        <v>6190</v>
      </c>
      <c r="H1162" s="35" t="n">
        <v>4386</v>
      </c>
      <c r="I1162" s="28" t="str">
        <f aca="false">INDEX(Campaigns!$C$2:$C$31,MATCH(B1162,Campaigns!$A$2:$A$31,0))</f>
        <v>Influencer Partnerships</v>
      </c>
      <c r="J1162" s="40" t="n">
        <f aca="false">DATE(YEAR(A1162),MONTH(A1162),1)</f>
        <v>46266</v>
      </c>
    </row>
    <row r="1163" customFormat="false" ht="15" hidden="false" customHeight="false" outlineLevel="0" collapsed="false">
      <c r="A1163" s="34" t="n">
        <v>46277</v>
      </c>
      <c r="B1163" s="28" t="s">
        <v>158</v>
      </c>
      <c r="C1163" s="35" t="n">
        <v>17245</v>
      </c>
      <c r="D1163" s="35" t="n">
        <v>166</v>
      </c>
      <c r="E1163" s="35" t="n">
        <v>20</v>
      </c>
      <c r="F1163" s="35" t="n">
        <v>3</v>
      </c>
      <c r="G1163" s="35" t="n">
        <v>13210</v>
      </c>
      <c r="H1163" s="35" t="n">
        <v>10014</v>
      </c>
      <c r="I1163" s="28" t="str">
        <f aca="false">INDEX(Campaigns!$C$2:$C$31,MATCH(B1163,Campaigns!$A$2:$A$31,0))</f>
        <v>Influencer Partnerships</v>
      </c>
      <c r="J1163" s="40" t="n">
        <f aca="false">DATE(YEAR(A1163),MONTH(A1163),1)</f>
        <v>46266</v>
      </c>
    </row>
    <row r="1164" customFormat="false" ht="15" hidden="false" customHeight="false" outlineLevel="0" collapsed="false">
      <c r="A1164" s="34" t="n">
        <v>46277</v>
      </c>
      <c r="B1164" s="28" t="s">
        <v>161</v>
      </c>
      <c r="C1164" s="35" t="n">
        <v>43936</v>
      </c>
      <c r="D1164" s="35" t="n">
        <v>561</v>
      </c>
      <c r="E1164" s="35" t="n">
        <v>13</v>
      </c>
      <c r="F1164" s="35" t="n">
        <v>0</v>
      </c>
      <c r="G1164" s="35" t="n">
        <v>0</v>
      </c>
      <c r="H1164" s="35" t="n">
        <v>10655</v>
      </c>
      <c r="I1164" s="28" t="str">
        <f aca="false">INDEX(Campaigns!$C$2:$C$31,MATCH(B1164,Campaigns!$A$2:$A$31,0))</f>
        <v>Facebook &amp; Instagram Ads</v>
      </c>
      <c r="J1164" s="40" t="n">
        <f aca="false">DATE(YEAR(A1164),MONTH(A1164),1)</f>
        <v>46266</v>
      </c>
    </row>
    <row r="1165" customFormat="false" ht="15" hidden="false" customHeight="false" outlineLevel="0" collapsed="false">
      <c r="A1165" s="34" t="n">
        <v>46278</v>
      </c>
      <c r="B1165" s="28" t="s">
        <v>105</v>
      </c>
      <c r="C1165" s="35" t="n">
        <v>6128</v>
      </c>
      <c r="D1165" s="35" t="n">
        <v>245</v>
      </c>
      <c r="E1165" s="35" t="n">
        <v>11</v>
      </c>
      <c r="F1165" s="35" t="n">
        <v>11</v>
      </c>
      <c r="G1165" s="35" t="n">
        <v>43420</v>
      </c>
      <c r="H1165" s="35" t="n">
        <v>5679</v>
      </c>
      <c r="I1165" s="28" t="str">
        <f aca="false">INDEX(Campaigns!$C$2:$C$31,MATCH(B1165,Campaigns!$A$2:$A$31,0))</f>
        <v>Google Search Ads</v>
      </c>
      <c r="J1165" s="40" t="n">
        <f aca="false">DATE(YEAR(A1165),MONTH(A1165),1)</f>
        <v>46266</v>
      </c>
    </row>
    <row r="1166" customFormat="false" ht="15" hidden="false" customHeight="false" outlineLevel="0" collapsed="false">
      <c r="A1166" s="34" t="n">
        <v>46278</v>
      </c>
      <c r="B1166" s="28" t="s">
        <v>110</v>
      </c>
      <c r="C1166" s="35" t="n">
        <v>17033</v>
      </c>
      <c r="D1166" s="35" t="n">
        <v>161</v>
      </c>
      <c r="E1166" s="35" t="n">
        <v>14</v>
      </c>
      <c r="F1166" s="35" t="n">
        <v>2</v>
      </c>
      <c r="G1166" s="35" t="n">
        <v>6370</v>
      </c>
      <c r="H1166" s="35" t="n">
        <v>9720</v>
      </c>
      <c r="I1166" s="28" t="str">
        <f aca="false">INDEX(Campaigns!$C$2:$C$31,MATCH(B1166,Campaigns!$A$2:$A$31,0))</f>
        <v>Influencer Partnerships</v>
      </c>
      <c r="J1166" s="40" t="n">
        <f aca="false">DATE(YEAR(A1166),MONTH(A1166),1)</f>
        <v>46266</v>
      </c>
    </row>
    <row r="1167" customFormat="false" ht="15" hidden="false" customHeight="false" outlineLevel="0" collapsed="false">
      <c r="A1167" s="34" t="n">
        <v>46278</v>
      </c>
      <c r="B1167" s="28" t="s">
        <v>114</v>
      </c>
      <c r="C1167" s="35" t="n">
        <v>688</v>
      </c>
      <c r="D1167" s="35" t="n">
        <v>38</v>
      </c>
      <c r="E1167" s="35" t="n">
        <v>0</v>
      </c>
      <c r="F1167" s="35" t="n">
        <v>3</v>
      </c>
      <c r="G1167" s="35" t="n">
        <v>7240</v>
      </c>
      <c r="H1167" s="35" t="n">
        <v>1027</v>
      </c>
      <c r="I1167" s="28" t="str">
        <f aca="false">INDEX(Campaigns!$C$2:$C$31,MATCH(B1167,Campaigns!$A$2:$A$31,0))</f>
        <v>WhatsApp Broadcast</v>
      </c>
      <c r="J1167" s="40" t="n">
        <f aca="false">DATE(YEAR(A1167),MONTH(A1167),1)</f>
        <v>46266</v>
      </c>
    </row>
    <row r="1168" customFormat="false" ht="15" hidden="false" customHeight="false" outlineLevel="0" collapsed="false">
      <c r="A1168" s="34" t="n">
        <v>46278</v>
      </c>
      <c r="B1168" s="28" t="s">
        <v>116</v>
      </c>
      <c r="C1168" s="35" t="n">
        <v>23398</v>
      </c>
      <c r="D1168" s="35" t="n">
        <v>283</v>
      </c>
      <c r="E1168" s="35" t="n">
        <v>10</v>
      </c>
      <c r="F1168" s="35" t="n">
        <v>4</v>
      </c>
      <c r="G1168" s="35" t="n">
        <v>12270</v>
      </c>
      <c r="H1168" s="35" t="n">
        <v>6359</v>
      </c>
      <c r="I1168" s="28" t="str">
        <f aca="false">INDEX(Campaigns!$C$2:$C$31,MATCH(B1168,Campaigns!$A$2:$A$31,0))</f>
        <v>Facebook &amp; Instagram Ads</v>
      </c>
      <c r="J1168" s="40" t="n">
        <f aca="false">DATE(YEAR(A1168),MONTH(A1168),1)</f>
        <v>46266</v>
      </c>
    </row>
    <row r="1169" customFormat="false" ht="15" hidden="false" customHeight="false" outlineLevel="0" collapsed="false">
      <c r="A1169" s="34" t="n">
        <v>46278</v>
      </c>
      <c r="B1169" s="28" t="s">
        <v>118</v>
      </c>
      <c r="C1169" s="35" t="n">
        <v>3722</v>
      </c>
      <c r="D1169" s="35" t="n">
        <v>196</v>
      </c>
      <c r="E1169" s="35" t="n">
        <v>6</v>
      </c>
      <c r="F1169" s="35" t="n">
        <v>10</v>
      </c>
      <c r="G1169" s="35" t="n">
        <v>41880</v>
      </c>
      <c r="H1169" s="35" t="n">
        <v>3072</v>
      </c>
      <c r="I1169" s="28" t="str">
        <f aca="false">INDEX(Campaigns!$C$2:$C$31,MATCH(B1169,Campaigns!$A$2:$A$31,0))</f>
        <v>Google Search Ads</v>
      </c>
      <c r="J1169" s="40" t="n">
        <f aca="false">DATE(YEAR(A1169),MONTH(A1169),1)</f>
        <v>46266</v>
      </c>
    </row>
    <row r="1170" customFormat="false" ht="15" hidden="false" customHeight="false" outlineLevel="0" collapsed="false">
      <c r="A1170" s="34" t="n">
        <v>46278</v>
      </c>
      <c r="B1170" s="28" t="s">
        <v>124</v>
      </c>
      <c r="C1170" s="35" t="n">
        <v>8555</v>
      </c>
      <c r="D1170" s="35" t="n">
        <v>179</v>
      </c>
      <c r="E1170" s="35" t="n">
        <v>8</v>
      </c>
      <c r="F1170" s="35" t="n">
        <v>3</v>
      </c>
      <c r="G1170" s="35" t="n">
        <v>10410</v>
      </c>
      <c r="H1170" s="35" t="n">
        <v>2885</v>
      </c>
      <c r="I1170" s="28" t="str">
        <f aca="false">INDEX(Campaigns!$C$2:$C$31,MATCH(B1170,Campaigns!$A$2:$A$31,0))</f>
        <v>Email</v>
      </c>
      <c r="J1170" s="40" t="n">
        <f aca="false">DATE(YEAR(A1170),MONTH(A1170),1)</f>
        <v>46266</v>
      </c>
    </row>
    <row r="1171" customFormat="false" ht="15" hidden="false" customHeight="false" outlineLevel="0" collapsed="false">
      <c r="A1171" s="34" t="n">
        <v>46278</v>
      </c>
      <c r="B1171" s="28" t="s">
        <v>132</v>
      </c>
      <c r="C1171" s="35" t="n">
        <v>31365</v>
      </c>
      <c r="D1171" s="35" t="n">
        <v>386</v>
      </c>
      <c r="E1171" s="35" t="n">
        <v>38</v>
      </c>
      <c r="F1171" s="35" t="n">
        <v>5</v>
      </c>
      <c r="G1171" s="35" t="n">
        <v>22390</v>
      </c>
      <c r="H1171" s="35" t="n">
        <v>8512</v>
      </c>
      <c r="I1171" s="28" t="str">
        <f aca="false">INDEX(Campaigns!$C$2:$C$31,MATCH(B1171,Campaigns!$A$2:$A$31,0))</f>
        <v>Facebook &amp; Instagram Ads</v>
      </c>
      <c r="J1171" s="40" t="n">
        <f aca="false">DATE(YEAR(A1171),MONTH(A1171),1)</f>
        <v>46266</v>
      </c>
    </row>
    <row r="1172" customFormat="false" ht="15" hidden="false" customHeight="false" outlineLevel="0" collapsed="false">
      <c r="A1172" s="34" t="n">
        <v>46278</v>
      </c>
      <c r="B1172" s="28" t="s">
        <v>138</v>
      </c>
      <c r="C1172" s="35" t="n">
        <v>4051</v>
      </c>
      <c r="D1172" s="35" t="n">
        <v>188</v>
      </c>
      <c r="E1172" s="35" t="n">
        <v>7</v>
      </c>
      <c r="F1172" s="35" t="n">
        <v>5</v>
      </c>
      <c r="G1172" s="35" t="n">
        <v>13680</v>
      </c>
      <c r="H1172" s="35" t="n">
        <v>5241</v>
      </c>
      <c r="I1172" s="28" t="str">
        <f aca="false">INDEX(Campaigns!$C$2:$C$31,MATCH(B1172,Campaigns!$A$2:$A$31,0))</f>
        <v>WhatsApp Broadcast</v>
      </c>
      <c r="J1172" s="40" t="n">
        <f aca="false">DATE(YEAR(A1172),MONTH(A1172),1)</f>
        <v>46266</v>
      </c>
    </row>
    <row r="1173" customFormat="false" ht="15" hidden="false" customHeight="false" outlineLevel="0" collapsed="false">
      <c r="A1173" s="34" t="n">
        <v>46278</v>
      </c>
      <c r="B1173" s="28" t="s">
        <v>139</v>
      </c>
      <c r="C1173" s="35" t="n">
        <v>19592</v>
      </c>
      <c r="D1173" s="35" t="n">
        <v>205</v>
      </c>
      <c r="E1173" s="35" t="n">
        <v>4</v>
      </c>
      <c r="F1173" s="35" t="n">
        <v>3</v>
      </c>
      <c r="G1173" s="35" t="n">
        <v>5580</v>
      </c>
      <c r="H1173" s="35" t="n">
        <v>3517</v>
      </c>
      <c r="I1173" s="28" t="str">
        <f aca="false">INDEX(Campaigns!$C$2:$C$31,MATCH(B1173,Campaigns!$A$2:$A$31,0))</f>
        <v>TikTok Ads</v>
      </c>
      <c r="J1173" s="40" t="n">
        <f aca="false">DATE(YEAR(A1173),MONTH(A1173),1)</f>
        <v>46266</v>
      </c>
    </row>
    <row r="1174" customFormat="false" ht="15" hidden="false" customHeight="false" outlineLevel="0" collapsed="false">
      <c r="A1174" s="34" t="n">
        <v>46278</v>
      </c>
      <c r="B1174" s="28" t="s">
        <v>141</v>
      </c>
      <c r="C1174" s="35" t="n">
        <v>8619</v>
      </c>
      <c r="D1174" s="35" t="n">
        <v>288</v>
      </c>
      <c r="E1174" s="35" t="n">
        <v>9</v>
      </c>
      <c r="F1174" s="35" t="n">
        <v>11</v>
      </c>
      <c r="G1174" s="35" t="n">
        <v>32130</v>
      </c>
      <c r="H1174" s="35" t="n">
        <v>2850</v>
      </c>
      <c r="I1174" s="28" t="str">
        <f aca="false">INDEX(Campaigns!$C$2:$C$31,MATCH(B1174,Campaigns!$A$2:$A$31,0))</f>
        <v>Email</v>
      </c>
      <c r="J1174" s="40" t="n">
        <f aca="false">DATE(YEAR(A1174),MONTH(A1174),1)</f>
        <v>46266</v>
      </c>
    </row>
    <row r="1175" customFormat="false" ht="15" hidden="false" customHeight="false" outlineLevel="0" collapsed="false">
      <c r="A1175" s="34" t="n">
        <v>46278</v>
      </c>
      <c r="B1175" s="28" t="s">
        <v>143</v>
      </c>
      <c r="C1175" s="35" t="n">
        <v>21512</v>
      </c>
      <c r="D1175" s="35" t="n">
        <v>1014</v>
      </c>
      <c r="E1175" s="35" t="n">
        <v>40</v>
      </c>
      <c r="F1175" s="35" t="n">
        <v>53</v>
      </c>
      <c r="G1175" s="35" t="n">
        <v>209050</v>
      </c>
      <c r="H1175" s="35" t="n">
        <v>19447</v>
      </c>
      <c r="I1175" s="28" t="str">
        <f aca="false">INDEX(Campaigns!$C$2:$C$31,MATCH(B1175,Campaigns!$A$2:$A$31,0))</f>
        <v>Google Search Ads</v>
      </c>
      <c r="J1175" s="40" t="n">
        <f aca="false">DATE(YEAR(A1175),MONTH(A1175),1)</f>
        <v>46266</v>
      </c>
    </row>
    <row r="1176" customFormat="false" ht="15" hidden="false" customHeight="false" outlineLevel="0" collapsed="false">
      <c r="A1176" s="34" t="n">
        <v>46278</v>
      </c>
      <c r="B1176" s="28" t="s">
        <v>147</v>
      </c>
      <c r="C1176" s="35" t="n">
        <v>26098</v>
      </c>
      <c r="D1176" s="35" t="n">
        <v>334</v>
      </c>
      <c r="E1176" s="35" t="n">
        <v>7</v>
      </c>
      <c r="F1176" s="35" t="n">
        <v>1</v>
      </c>
      <c r="G1176" s="35" t="n">
        <v>3170</v>
      </c>
      <c r="H1176" s="35" t="n">
        <v>7129</v>
      </c>
      <c r="I1176" s="28" t="str">
        <f aca="false">INDEX(Campaigns!$C$2:$C$31,MATCH(B1176,Campaigns!$A$2:$A$31,0))</f>
        <v>Facebook &amp; Instagram Ads</v>
      </c>
      <c r="J1176" s="40" t="n">
        <f aca="false">DATE(YEAR(A1176),MONTH(A1176),1)</f>
        <v>46266</v>
      </c>
    </row>
    <row r="1177" customFormat="false" ht="15" hidden="false" customHeight="false" outlineLevel="0" collapsed="false">
      <c r="A1177" s="34" t="n">
        <v>46278</v>
      </c>
      <c r="B1177" s="28" t="s">
        <v>152</v>
      </c>
      <c r="C1177" s="35" t="n">
        <v>8390</v>
      </c>
      <c r="D1177" s="35" t="n">
        <v>99</v>
      </c>
      <c r="E1177" s="35" t="n">
        <v>2</v>
      </c>
      <c r="F1177" s="35" t="n">
        <v>1</v>
      </c>
      <c r="G1177" s="35" t="n">
        <v>3130</v>
      </c>
      <c r="H1177" s="35" t="n">
        <v>5407</v>
      </c>
      <c r="I1177" s="28" t="str">
        <f aca="false">INDEX(Campaigns!$C$2:$C$31,MATCH(B1177,Campaigns!$A$2:$A$31,0))</f>
        <v>Influencer Partnerships</v>
      </c>
      <c r="J1177" s="40" t="n">
        <f aca="false">DATE(YEAR(A1177),MONTH(A1177),1)</f>
        <v>46266</v>
      </c>
    </row>
    <row r="1178" customFormat="false" ht="15" hidden="false" customHeight="false" outlineLevel="0" collapsed="false">
      <c r="A1178" s="34" t="n">
        <v>46278</v>
      </c>
      <c r="B1178" s="28" t="s">
        <v>154</v>
      </c>
      <c r="C1178" s="35" t="n">
        <v>5129</v>
      </c>
      <c r="D1178" s="35" t="n">
        <v>44</v>
      </c>
      <c r="E1178" s="35" t="n">
        <v>1</v>
      </c>
      <c r="F1178" s="35" t="n">
        <v>1</v>
      </c>
      <c r="G1178" s="35" t="n">
        <v>3350</v>
      </c>
      <c r="H1178" s="35" t="n">
        <v>3405</v>
      </c>
      <c r="I1178" s="28" t="str">
        <f aca="false">INDEX(Campaigns!$C$2:$C$31,MATCH(B1178,Campaigns!$A$2:$A$31,0))</f>
        <v>Influencer Partnerships</v>
      </c>
      <c r="J1178" s="40" t="n">
        <f aca="false">DATE(YEAR(A1178),MONTH(A1178),1)</f>
        <v>46266</v>
      </c>
    </row>
    <row r="1179" customFormat="false" ht="15" hidden="false" customHeight="false" outlineLevel="0" collapsed="false">
      <c r="A1179" s="34" t="n">
        <v>46278</v>
      </c>
      <c r="B1179" s="28" t="s">
        <v>158</v>
      </c>
      <c r="C1179" s="35" t="n">
        <v>19476</v>
      </c>
      <c r="D1179" s="35" t="n">
        <v>191</v>
      </c>
      <c r="E1179" s="35" t="n">
        <v>24</v>
      </c>
      <c r="F1179" s="35" t="n">
        <v>4</v>
      </c>
      <c r="G1179" s="35" t="n">
        <v>16270</v>
      </c>
      <c r="H1179" s="35" t="n">
        <v>11988</v>
      </c>
      <c r="I1179" s="28" t="str">
        <f aca="false">INDEX(Campaigns!$C$2:$C$31,MATCH(B1179,Campaigns!$A$2:$A$31,0))</f>
        <v>Influencer Partnerships</v>
      </c>
      <c r="J1179" s="40" t="n">
        <f aca="false">DATE(YEAR(A1179),MONTH(A1179),1)</f>
        <v>46266</v>
      </c>
    </row>
    <row r="1180" customFormat="false" ht="15" hidden="false" customHeight="false" outlineLevel="0" collapsed="false">
      <c r="A1180" s="34" t="n">
        <v>46278</v>
      </c>
      <c r="B1180" s="28" t="s">
        <v>161</v>
      </c>
      <c r="C1180" s="35" t="n">
        <v>45975</v>
      </c>
      <c r="D1180" s="35" t="n">
        <v>595</v>
      </c>
      <c r="E1180" s="35" t="n">
        <v>18</v>
      </c>
      <c r="F1180" s="35" t="n">
        <v>1</v>
      </c>
      <c r="G1180" s="35" t="n">
        <v>3230</v>
      </c>
      <c r="H1180" s="35" t="n">
        <v>11604</v>
      </c>
      <c r="I1180" s="28" t="str">
        <f aca="false">INDEX(Campaigns!$C$2:$C$31,MATCH(B1180,Campaigns!$A$2:$A$31,0))</f>
        <v>Facebook &amp; Instagram Ads</v>
      </c>
      <c r="J1180" s="40" t="n">
        <f aca="false">DATE(YEAR(A1180),MONTH(A1180),1)</f>
        <v>46266</v>
      </c>
    </row>
    <row r="1181" customFormat="false" ht="15" hidden="false" customHeight="false" outlineLevel="0" collapsed="false">
      <c r="A1181" s="34" t="n">
        <v>46279</v>
      </c>
      <c r="B1181" s="28" t="s">
        <v>105</v>
      </c>
      <c r="C1181" s="35" t="n">
        <v>5703</v>
      </c>
      <c r="D1181" s="35" t="n">
        <v>232</v>
      </c>
      <c r="E1181" s="35" t="n">
        <v>8</v>
      </c>
      <c r="F1181" s="35" t="n">
        <v>4</v>
      </c>
      <c r="G1181" s="35" t="n">
        <v>14060</v>
      </c>
      <c r="H1181" s="35" t="n">
        <v>4827</v>
      </c>
      <c r="I1181" s="28" t="str">
        <f aca="false">INDEX(Campaigns!$C$2:$C$31,MATCH(B1181,Campaigns!$A$2:$A$31,0))</f>
        <v>Google Search Ads</v>
      </c>
      <c r="J1181" s="40" t="n">
        <f aca="false">DATE(YEAR(A1181),MONTH(A1181),1)</f>
        <v>46266</v>
      </c>
    </row>
    <row r="1182" customFormat="false" ht="15" hidden="false" customHeight="false" outlineLevel="0" collapsed="false">
      <c r="A1182" s="34" t="n">
        <v>46279</v>
      </c>
      <c r="B1182" s="28" t="s">
        <v>110</v>
      </c>
      <c r="C1182" s="35" t="n">
        <v>17705</v>
      </c>
      <c r="D1182" s="35" t="n">
        <v>177</v>
      </c>
      <c r="E1182" s="35" t="n">
        <v>29</v>
      </c>
      <c r="F1182" s="35" t="n">
        <v>2</v>
      </c>
      <c r="G1182" s="35" t="n">
        <v>7510</v>
      </c>
      <c r="H1182" s="35" t="n">
        <v>9762</v>
      </c>
      <c r="I1182" s="28" t="str">
        <f aca="false">INDEX(Campaigns!$C$2:$C$31,MATCH(B1182,Campaigns!$A$2:$A$31,0))</f>
        <v>Influencer Partnerships</v>
      </c>
      <c r="J1182" s="40" t="n">
        <f aca="false">DATE(YEAR(A1182),MONTH(A1182),1)</f>
        <v>46266</v>
      </c>
    </row>
    <row r="1183" customFormat="false" ht="15" hidden="false" customHeight="false" outlineLevel="0" collapsed="false">
      <c r="A1183" s="34" t="n">
        <v>46279</v>
      </c>
      <c r="B1183" s="28" t="s">
        <v>114</v>
      </c>
      <c r="C1183" s="35" t="n">
        <v>694</v>
      </c>
      <c r="D1183" s="35" t="n">
        <v>49</v>
      </c>
      <c r="E1183" s="35" t="n">
        <v>2</v>
      </c>
      <c r="F1183" s="35" t="n">
        <v>0</v>
      </c>
      <c r="G1183" s="35" t="n">
        <v>0</v>
      </c>
      <c r="H1183" s="35" t="n">
        <v>989</v>
      </c>
      <c r="I1183" s="28" t="str">
        <f aca="false">INDEX(Campaigns!$C$2:$C$31,MATCH(B1183,Campaigns!$A$2:$A$31,0))</f>
        <v>WhatsApp Broadcast</v>
      </c>
      <c r="J1183" s="40" t="n">
        <f aca="false">DATE(YEAR(A1183),MONTH(A1183),1)</f>
        <v>46266</v>
      </c>
    </row>
    <row r="1184" customFormat="false" ht="15" hidden="false" customHeight="false" outlineLevel="0" collapsed="false">
      <c r="A1184" s="34" t="n">
        <v>46279</v>
      </c>
      <c r="B1184" s="28" t="s">
        <v>116</v>
      </c>
      <c r="C1184" s="35" t="n">
        <v>27003</v>
      </c>
      <c r="D1184" s="35" t="n">
        <v>364</v>
      </c>
      <c r="E1184" s="35" t="n">
        <v>23</v>
      </c>
      <c r="F1184" s="35" t="n">
        <v>3</v>
      </c>
      <c r="G1184" s="35" t="n">
        <v>9170</v>
      </c>
      <c r="H1184" s="35" t="n">
        <v>6151</v>
      </c>
      <c r="I1184" s="28" t="str">
        <f aca="false">INDEX(Campaigns!$C$2:$C$31,MATCH(B1184,Campaigns!$A$2:$A$31,0))</f>
        <v>Facebook &amp; Instagram Ads</v>
      </c>
      <c r="J1184" s="40" t="n">
        <f aca="false">DATE(YEAR(A1184),MONTH(A1184),1)</f>
        <v>46266</v>
      </c>
    </row>
    <row r="1185" customFormat="false" ht="15" hidden="false" customHeight="false" outlineLevel="0" collapsed="false">
      <c r="A1185" s="34" t="n">
        <v>46279</v>
      </c>
      <c r="B1185" s="28" t="s">
        <v>118</v>
      </c>
      <c r="C1185" s="35" t="n">
        <v>2979</v>
      </c>
      <c r="D1185" s="35" t="n">
        <v>147</v>
      </c>
      <c r="E1185" s="35" t="n">
        <v>5</v>
      </c>
      <c r="F1185" s="35" t="n">
        <v>12</v>
      </c>
      <c r="G1185" s="35" t="n">
        <v>39410</v>
      </c>
      <c r="H1185" s="35" t="n">
        <v>2832</v>
      </c>
      <c r="I1185" s="28" t="str">
        <f aca="false">INDEX(Campaigns!$C$2:$C$31,MATCH(B1185,Campaigns!$A$2:$A$31,0))</f>
        <v>Google Search Ads</v>
      </c>
      <c r="J1185" s="40" t="n">
        <f aca="false">DATE(YEAR(A1185),MONTH(A1185),1)</f>
        <v>46266</v>
      </c>
    </row>
    <row r="1186" customFormat="false" ht="15" hidden="false" customHeight="false" outlineLevel="0" collapsed="false">
      <c r="A1186" s="34" t="n">
        <v>46279</v>
      </c>
      <c r="B1186" s="28" t="s">
        <v>124</v>
      </c>
      <c r="C1186" s="35" t="n">
        <v>8413</v>
      </c>
      <c r="D1186" s="35" t="n">
        <v>217</v>
      </c>
      <c r="E1186" s="35" t="n">
        <v>13</v>
      </c>
      <c r="F1186" s="35" t="n">
        <v>3</v>
      </c>
      <c r="G1186" s="35" t="n">
        <v>6870</v>
      </c>
      <c r="H1186" s="35" t="n">
        <v>2878</v>
      </c>
      <c r="I1186" s="28" t="str">
        <f aca="false">INDEX(Campaigns!$C$2:$C$31,MATCH(B1186,Campaigns!$A$2:$A$31,0))</f>
        <v>Email</v>
      </c>
      <c r="J1186" s="40" t="n">
        <f aca="false">DATE(YEAR(A1186),MONTH(A1186),1)</f>
        <v>46266</v>
      </c>
    </row>
    <row r="1187" customFormat="false" ht="15" hidden="false" customHeight="false" outlineLevel="0" collapsed="false">
      <c r="A1187" s="34" t="n">
        <v>46279</v>
      </c>
      <c r="B1187" s="28" t="s">
        <v>132</v>
      </c>
      <c r="C1187" s="35" t="n">
        <v>29519</v>
      </c>
      <c r="D1187" s="35" t="n">
        <v>389</v>
      </c>
      <c r="E1187" s="35" t="n">
        <v>55</v>
      </c>
      <c r="F1187" s="35" t="n">
        <v>6</v>
      </c>
      <c r="G1187" s="35" t="n">
        <v>23440</v>
      </c>
      <c r="H1187" s="35" t="n">
        <v>7719</v>
      </c>
      <c r="I1187" s="28" t="str">
        <f aca="false">INDEX(Campaigns!$C$2:$C$31,MATCH(B1187,Campaigns!$A$2:$A$31,0))</f>
        <v>Facebook &amp; Instagram Ads</v>
      </c>
      <c r="J1187" s="40" t="n">
        <f aca="false">DATE(YEAR(A1187),MONTH(A1187),1)</f>
        <v>46266</v>
      </c>
    </row>
    <row r="1188" customFormat="false" ht="15" hidden="false" customHeight="false" outlineLevel="0" collapsed="false">
      <c r="A1188" s="34" t="n">
        <v>46279</v>
      </c>
      <c r="B1188" s="28" t="s">
        <v>138</v>
      </c>
      <c r="C1188" s="35" t="n">
        <v>3314</v>
      </c>
      <c r="D1188" s="35" t="n">
        <v>127</v>
      </c>
      <c r="E1188" s="35" t="n">
        <v>9</v>
      </c>
      <c r="F1188" s="35" t="n">
        <v>2</v>
      </c>
      <c r="G1188" s="35" t="n">
        <v>6740</v>
      </c>
      <c r="H1188" s="35" t="n">
        <v>4540</v>
      </c>
      <c r="I1188" s="28" t="str">
        <f aca="false">INDEX(Campaigns!$C$2:$C$31,MATCH(B1188,Campaigns!$A$2:$A$31,0))</f>
        <v>WhatsApp Broadcast</v>
      </c>
      <c r="J1188" s="40" t="n">
        <f aca="false">DATE(YEAR(A1188),MONTH(A1188),1)</f>
        <v>46266</v>
      </c>
    </row>
    <row r="1189" customFormat="false" ht="15" hidden="false" customHeight="false" outlineLevel="0" collapsed="false">
      <c r="A1189" s="34" t="n">
        <v>46279</v>
      </c>
      <c r="B1189" s="28" t="s">
        <v>139</v>
      </c>
      <c r="C1189" s="35" t="n">
        <v>17396</v>
      </c>
      <c r="D1189" s="35" t="n">
        <v>160</v>
      </c>
      <c r="E1189" s="35" t="n">
        <v>5</v>
      </c>
      <c r="F1189" s="35" t="n">
        <v>3</v>
      </c>
      <c r="G1189" s="35" t="n">
        <v>7460</v>
      </c>
      <c r="H1189" s="35" t="n">
        <v>2884</v>
      </c>
      <c r="I1189" s="28" t="str">
        <f aca="false">INDEX(Campaigns!$C$2:$C$31,MATCH(B1189,Campaigns!$A$2:$A$31,0))</f>
        <v>TikTok Ads</v>
      </c>
      <c r="J1189" s="40" t="n">
        <f aca="false">DATE(YEAR(A1189),MONTH(A1189),1)</f>
        <v>46266</v>
      </c>
    </row>
    <row r="1190" customFormat="false" ht="15" hidden="false" customHeight="false" outlineLevel="0" collapsed="false">
      <c r="A1190" s="34" t="n">
        <v>46279</v>
      </c>
      <c r="B1190" s="28" t="s">
        <v>141</v>
      </c>
      <c r="C1190" s="35" t="n">
        <v>8399</v>
      </c>
      <c r="D1190" s="35" t="n">
        <v>277</v>
      </c>
      <c r="E1190" s="35" t="n">
        <v>7</v>
      </c>
      <c r="F1190" s="35" t="n">
        <v>13</v>
      </c>
      <c r="G1190" s="35" t="n">
        <v>40110</v>
      </c>
      <c r="H1190" s="35" t="n">
        <v>2724</v>
      </c>
      <c r="I1190" s="28" t="str">
        <f aca="false">INDEX(Campaigns!$C$2:$C$31,MATCH(B1190,Campaigns!$A$2:$A$31,0))</f>
        <v>Email</v>
      </c>
      <c r="J1190" s="40" t="n">
        <f aca="false">DATE(YEAR(A1190),MONTH(A1190),1)</f>
        <v>46266</v>
      </c>
    </row>
    <row r="1191" customFormat="false" ht="15" hidden="false" customHeight="false" outlineLevel="0" collapsed="false">
      <c r="A1191" s="34" t="n">
        <v>46279</v>
      </c>
      <c r="B1191" s="28" t="s">
        <v>143</v>
      </c>
      <c r="C1191" s="35" t="n">
        <v>21601</v>
      </c>
      <c r="D1191" s="35" t="n">
        <v>1042</v>
      </c>
      <c r="E1191" s="35" t="n">
        <v>53</v>
      </c>
      <c r="F1191" s="35" t="n">
        <v>52</v>
      </c>
      <c r="G1191" s="35" t="n">
        <v>199420</v>
      </c>
      <c r="H1191" s="35" t="n">
        <v>17719</v>
      </c>
      <c r="I1191" s="28" t="str">
        <f aca="false">INDEX(Campaigns!$C$2:$C$31,MATCH(B1191,Campaigns!$A$2:$A$31,0))</f>
        <v>Google Search Ads</v>
      </c>
      <c r="J1191" s="40" t="n">
        <f aca="false">DATE(YEAR(A1191),MONTH(A1191),1)</f>
        <v>46266</v>
      </c>
    </row>
    <row r="1192" customFormat="false" ht="15" hidden="false" customHeight="false" outlineLevel="0" collapsed="false">
      <c r="A1192" s="34" t="n">
        <v>46279</v>
      </c>
      <c r="B1192" s="28" t="s">
        <v>147</v>
      </c>
      <c r="C1192" s="35" t="n">
        <v>25655</v>
      </c>
      <c r="D1192" s="35" t="n">
        <v>334</v>
      </c>
      <c r="E1192" s="35" t="n">
        <v>5</v>
      </c>
      <c r="F1192" s="35" t="n">
        <v>0</v>
      </c>
      <c r="G1192" s="35" t="n">
        <v>0</v>
      </c>
      <c r="H1192" s="35" t="n">
        <v>5974</v>
      </c>
      <c r="I1192" s="28" t="str">
        <f aca="false">INDEX(Campaigns!$C$2:$C$31,MATCH(B1192,Campaigns!$A$2:$A$31,0))</f>
        <v>Facebook &amp; Instagram Ads</v>
      </c>
      <c r="J1192" s="40" t="n">
        <f aca="false">DATE(YEAR(A1192),MONTH(A1192),1)</f>
        <v>46266</v>
      </c>
    </row>
    <row r="1193" customFormat="false" ht="15" hidden="false" customHeight="false" outlineLevel="0" collapsed="false">
      <c r="A1193" s="34" t="n">
        <v>46279</v>
      </c>
      <c r="B1193" s="28" t="s">
        <v>152</v>
      </c>
      <c r="C1193" s="35" t="n">
        <v>7200</v>
      </c>
      <c r="D1193" s="35" t="n">
        <v>69</v>
      </c>
      <c r="E1193" s="35" t="n">
        <v>6</v>
      </c>
      <c r="F1193" s="35" t="n">
        <v>3</v>
      </c>
      <c r="G1193" s="35" t="n">
        <v>8750</v>
      </c>
      <c r="H1193" s="35" t="n">
        <v>4713</v>
      </c>
      <c r="I1193" s="28" t="str">
        <f aca="false">INDEX(Campaigns!$C$2:$C$31,MATCH(B1193,Campaigns!$A$2:$A$31,0))</f>
        <v>Influencer Partnerships</v>
      </c>
      <c r="J1193" s="40" t="n">
        <f aca="false">DATE(YEAR(A1193),MONTH(A1193),1)</f>
        <v>46266</v>
      </c>
    </row>
    <row r="1194" customFormat="false" ht="15" hidden="false" customHeight="false" outlineLevel="0" collapsed="false">
      <c r="A1194" s="34" t="n">
        <v>46279</v>
      </c>
      <c r="B1194" s="28" t="s">
        <v>154</v>
      </c>
      <c r="C1194" s="35" t="n">
        <v>5827</v>
      </c>
      <c r="D1194" s="35" t="n">
        <v>36</v>
      </c>
      <c r="E1194" s="35" t="n">
        <v>2</v>
      </c>
      <c r="F1194" s="35" t="n">
        <v>0</v>
      </c>
      <c r="G1194" s="35" t="n">
        <v>0</v>
      </c>
      <c r="H1194" s="35" t="n">
        <v>3425</v>
      </c>
      <c r="I1194" s="28" t="str">
        <f aca="false">INDEX(Campaigns!$C$2:$C$31,MATCH(B1194,Campaigns!$A$2:$A$31,0))</f>
        <v>Influencer Partnerships</v>
      </c>
      <c r="J1194" s="40" t="n">
        <f aca="false">DATE(YEAR(A1194),MONTH(A1194),1)</f>
        <v>46266</v>
      </c>
    </row>
    <row r="1195" customFormat="false" ht="15" hidden="false" customHeight="false" outlineLevel="0" collapsed="false">
      <c r="A1195" s="34" t="n">
        <v>46279</v>
      </c>
      <c r="B1195" s="28" t="s">
        <v>158</v>
      </c>
      <c r="C1195" s="35" t="n">
        <v>17022</v>
      </c>
      <c r="D1195" s="35" t="n">
        <v>160</v>
      </c>
      <c r="E1195" s="35" t="n">
        <v>14</v>
      </c>
      <c r="F1195" s="35" t="n">
        <v>1</v>
      </c>
      <c r="G1195" s="35" t="n">
        <v>4120</v>
      </c>
      <c r="H1195" s="35" t="n">
        <v>10909</v>
      </c>
      <c r="I1195" s="28" t="str">
        <f aca="false">INDEX(Campaigns!$C$2:$C$31,MATCH(B1195,Campaigns!$A$2:$A$31,0))</f>
        <v>Influencer Partnerships</v>
      </c>
      <c r="J1195" s="40" t="n">
        <f aca="false">DATE(YEAR(A1195),MONTH(A1195),1)</f>
        <v>46266</v>
      </c>
    </row>
    <row r="1196" customFormat="false" ht="15" hidden="false" customHeight="false" outlineLevel="0" collapsed="false">
      <c r="A1196" s="34" t="n">
        <v>46279</v>
      </c>
      <c r="B1196" s="28" t="s">
        <v>161</v>
      </c>
      <c r="C1196" s="35" t="n">
        <v>49449</v>
      </c>
      <c r="D1196" s="35" t="n">
        <v>634</v>
      </c>
      <c r="E1196" s="35" t="n">
        <v>5</v>
      </c>
      <c r="F1196" s="35" t="n">
        <v>0</v>
      </c>
      <c r="G1196" s="35" t="n">
        <v>0</v>
      </c>
      <c r="H1196" s="35" t="n">
        <v>11795</v>
      </c>
      <c r="I1196" s="28" t="str">
        <f aca="false">INDEX(Campaigns!$C$2:$C$31,MATCH(B1196,Campaigns!$A$2:$A$31,0))</f>
        <v>Facebook &amp; Instagram Ads</v>
      </c>
      <c r="J1196" s="40" t="n">
        <f aca="false">DATE(YEAR(A1196),MONTH(A1196),1)</f>
        <v>46266</v>
      </c>
    </row>
    <row r="1197" customFormat="false" ht="15" hidden="false" customHeight="false" outlineLevel="0" collapsed="false">
      <c r="A1197" s="34" t="n">
        <v>46280</v>
      </c>
      <c r="B1197" s="28" t="s">
        <v>105</v>
      </c>
      <c r="C1197" s="35" t="n">
        <v>5910</v>
      </c>
      <c r="D1197" s="35" t="n">
        <v>215</v>
      </c>
      <c r="E1197" s="35" t="n">
        <v>7</v>
      </c>
      <c r="F1197" s="35" t="n">
        <v>5</v>
      </c>
      <c r="G1197" s="35" t="n">
        <v>17360</v>
      </c>
      <c r="H1197" s="35" t="n">
        <v>5469</v>
      </c>
      <c r="I1197" s="28" t="str">
        <f aca="false">INDEX(Campaigns!$C$2:$C$31,MATCH(B1197,Campaigns!$A$2:$A$31,0))</f>
        <v>Google Search Ads</v>
      </c>
      <c r="J1197" s="40" t="n">
        <f aca="false">DATE(YEAR(A1197),MONTH(A1197),1)</f>
        <v>46266</v>
      </c>
    </row>
    <row r="1198" customFormat="false" ht="15" hidden="false" customHeight="false" outlineLevel="0" collapsed="false">
      <c r="A1198" s="34" t="n">
        <v>46280</v>
      </c>
      <c r="B1198" s="28" t="s">
        <v>110</v>
      </c>
      <c r="C1198" s="35" t="n">
        <v>15285</v>
      </c>
      <c r="D1198" s="35" t="n">
        <v>123</v>
      </c>
      <c r="E1198" s="35" t="n">
        <v>21</v>
      </c>
      <c r="F1198" s="35" t="n">
        <v>4</v>
      </c>
      <c r="G1198" s="35" t="n">
        <v>16910</v>
      </c>
      <c r="H1198" s="35" t="n">
        <v>9120</v>
      </c>
      <c r="I1198" s="28" t="str">
        <f aca="false">INDEX(Campaigns!$C$2:$C$31,MATCH(B1198,Campaigns!$A$2:$A$31,0))</f>
        <v>Influencer Partnerships</v>
      </c>
      <c r="J1198" s="40" t="n">
        <f aca="false">DATE(YEAR(A1198),MONTH(A1198),1)</f>
        <v>46266</v>
      </c>
    </row>
    <row r="1199" customFormat="false" ht="15" hidden="false" customHeight="false" outlineLevel="0" collapsed="false">
      <c r="A1199" s="34" t="n">
        <v>46280</v>
      </c>
      <c r="B1199" s="28" t="s">
        <v>114</v>
      </c>
      <c r="C1199" s="35" t="n">
        <v>620</v>
      </c>
      <c r="D1199" s="35" t="n">
        <v>40</v>
      </c>
      <c r="E1199" s="35" t="n">
        <v>3</v>
      </c>
      <c r="F1199" s="35" t="n">
        <v>5</v>
      </c>
      <c r="G1199" s="35" t="n">
        <v>11660</v>
      </c>
      <c r="H1199" s="35" t="n">
        <v>934</v>
      </c>
      <c r="I1199" s="28" t="str">
        <f aca="false">INDEX(Campaigns!$C$2:$C$31,MATCH(B1199,Campaigns!$A$2:$A$31,0))</f>
        <v>WhatsApp Broadcast</v>
      </c>
      <c r="J1199" s="40" t="n">
        <f aca="false">DATE(YEAR(A1199),MONTH(A1199),1)</f>
        <v>46266</v>
      </c>
    </row>
    <row r="1200" customFormat="false" ht="15" hidden="false" customHeight="false" outlineLevel="0" collapsed="false">
      <c r="A1200" s="34" t="n">
        <v>46280</v>
      </c>
      <c r="B1200" s="28" t="s">
        <v>116</v>
      </c>
      <c r="C1200" s="35" t="n">
        <v>19219</v>
      </c>
      <c r="D1200" s="35" t="n">
        <v>231</v>
      </c>
      <c r="E1200" s="35" t="n">
        <v>10</v>
      </c>
      <c r="F1200" s="35" t="n">
        <v>7</v>
      </c>
      <c r="G1200" s="35" t="n">
        <v>22840</v>
      </c>
      <c r="H1200" s="35" t="n">
        <v>5263</v>
      </c>
      <c r="I1200" s="28" t="str">
        <f aca="false">INDEX(Campaigns!$C$2:$C$31,MATCH(B1200,Campaigns!$A$2:$A$31,0))</f>
        <v>Facebook &amp; Instagram Ads</v>
      </c>
      <c r="J1200" s="40" t="n">
        <f aca="false">DATE(YEAR(A1200),MONTH(A1200),1)</f>
        <v>46266</v>
      </c>
    </row>
    <row r="1201" customFormat="false" ht="15" hidden="false" customHeight="false" outlineLevel="0" collapsed="false">
      <c r="A1201" s="34" t="n">
        <v>46280</v>
      </c>
      <c r="B1201" s="28" t="s">
        <v>118</v>
      </c>
      <c r="C1201" s="35" t="n">
        <v>2713</v>
      </c>
      <c r="D1201" s="35" t="n">
        <v>115</v>
      </c>
      <c r="E1201" s="35" t="n">
        <v>2</v>
      </c>
      <c r="F1201" s="35" t="n">
        <v>9</v>
      </c>
      <c r="G1201" s="35" t="n">
        <v>38210</v>
      </c>
      <c r="H1201" s="35" t="n">
        <v>2568</v>
      </c>
      <c r="I1201" s="28" t="str">
        <f aca="false">INDEX(Campaigns!$C$2:$C$31,MATCH(B1201,Campaigns!$A$2:$A$31,0))</f>
        <v>Google Search Ads</v>
      </c>
      <c r="J1201" s="40" t="n">
        <f aca="false">DATE(YEAR(A1201),MONTH(A1201),1)</f>
        <v>46266</v>
      </c>
    </row>
    <row r="1202" customFormat="false" ht="15" hidden="false" customHeight="false" outlineLevel="0" collapsed="false">
      <c r="A1202" s="34" t="n">
        <v>46280</v>
      </c>
      <c r="B1202" s="28" t="s">
        <v>124</v>
      </c>
      <c r="C1202" s="35" t="n">
        <v>6855</v>
      </c>
      <c r="D1202" s="35" t="n">
        <v>154</v>
      </c>
      <c r="E1202" s="35" t="n">
        <v>8</v>
      </c>
      <c r="F1202" s="35" t="n">
        <v>5</v>
      </c>
      <c r="G1202" s="35" t="n">
        <v>13930</v>
      </c>
      <c r="H1202" s="35" t="n">
        <v>2522</v>
      </c>
      <c r="I1202" s="28" t="str">
        <f aca="false">INDEX(Campaigns!$C$2:$C$31,MATCH(B1202,Campaigns!$A$2:$A$31,0))</f>
        <v>Email</v>
      </c>
      <c r="J1202" s="40" t="n">
        <f aca="false">DATE(YEAR(A1202),MONTH(A1202),1)</f>
        <v>46266</v>
      </c>
    </row>
    <row r="1203" customFormat="false" ht="15" hidden="false" customHeight="false" outlineLevel="0" collapsed="false">
      <c r="A1203" s="34" t="n">
        <v>46280</v>
      </c>
      <c r="B1203" s="28" t="s">
        <v>132</v>
      </c>
      <c r="C1203" s="35" t="n">
        <v>29128</v>
      </c>
      <c r="D1203" s="35" t="n">
        <v>396</v>
      </c>
      <c r="E1203" s="35" t="n">
        <v>60</v>
      </c>
      <c r="F1203" s="35" t="n">
        <v>11</v>
      </c>
      <c r="G1203" s="35" t="n">
        <v>39690</v>
      </c>
      <c r="H1203" s="35" t="n">
        <v>7578</v>
      </c>
      <c r="I1203" s="28" t="str">
        <f aca="false">INDEX(Campaigns!$C$2:$C$31,MATCH(B1203,Campaigns!$A$2:$A$31,0))</f>
        <v>Facebook &amp; Instagram Ads</v>
      </c>
      <c r="J1203" s="40" t="n">
        <f aca="false">DATE(YEAR(A1203),MONTH(A1203),1)</f>
        <v>46266</v>
      </c>
    </row>
    <row r="1204" customFormat="false" ht="15" hidden="false" customHeight="false" outlineLevel="0" collapsed="false">
      <c r="A1204" s="34" t="n">
        <v>46280</v>
      </c>
      <c r="B1204" s="28" t="s">
        <v>138</v>
      </c>
      <c r="C1204" s="35" t="n">
        <v>3127</v>
      </c>
      <c r="D1204" s="35" t="n">
        <v>129</v>
      </c>
      <c r="E1204" s="35" t="n">
        <v>3</v>
      </c>
      <c r="F1204" s="35" t="n">
        <v>4</v>
      </c>
      <c r="G1204" s="35" t="n">
        <v>12670</v>
      </c>
      <c r="H1204" s="35" t="n">
        <v>4847</v>
      </c>
      <c r="I1204" s="28" t="str">
        <f aca="false">INDEX(Campaigns!$C$2:$C$31,MATCH(B1204,Campaigns!$A$2:$A$31,0))</f>
        <v>WhatsApp Broadcast</v>
      </c>
      <c r="J1204" s="40" t="n">
        <f aca="false">DATE(YEAR(A1204),MONTH(A1204),1)</f>
        <v>46266</v>
      </c>
    </row>
    <row r="1205" customFormat="false" ht="15" hidden="false" customHeight="false" outlineLevel="0" collapsed="false">
      <c r="A1205" s="34" t="n">
        <v>46280</v>
      </c>
      <c r="B1205" s="28" t="s">
        <v>139</v>
      </c>
      <c r="C1205" s="35" t="n">
        <v>17714</v>
      </c>
      <c r="D1205" s="35" t="n">
        <v>162</v>
      </c>
      <c r="E1205" s="35" t="n">
        <v>10</v>
      </c>
      <c r="F1205" s="35" t="n">
        <v>2</v>
      </c>
      <c r="G1205" s="35" t="n">
        <v>6870</v>
      </c>
      <c r="H1205" s="35" t="n">
        <v>3211</v>
      </c>
      <c r="I1205" s="28" t="str">
        <f aca="false">INDEX(Campaigns!$C$2:$C$31,MATCH(B1205,Campaigns!$A$2:$A$31,0))</f>
        <v>TikTok Ads</v>
      </c>
      <c r="J1205" s="40" t="n">
        <f aca="false">DATE(YEAR(A1205),MONTH(A1205),1)</f>
        <v>46266</v>
      </c>
    </row>
    <row r="1206" customFormat="false" ht="15" hidden="false" customHeight="false" outlineLevel="0" collapsed="false">
      <c r="A1206" s="34" t="n">
        <v>46280</v>
      </c>
      <c r="B1206" s="28" t="s">
        <v>143</v>
      </c>
      <c r="C1206" s="35" t="n">
        <v>23611</v>
      </c>
      <c r="D1206" s="35" t="n">
        <v>1140</v>
      </c>
      <c r="E1206" s="35" t="n">
        <v>40</v>
      </c>
      <c r="F1206" s="35" t="n">
        <v>54</v>
      </c>
      <c r="G1206" s="35" t="n">
        <v>192210</v>
      </c>
      <c r="H1206" s="35" t="n">
        <v>21410</v>
      </c>
      <c r="I1206" s="28" t="str">
        <f aca="false">INDEX(Campaigns!$C$2:$C$31,MATCH(B1206,Campaigns!$A$2:$A$31,0))</f>
        <v>Google Search Ads</v>
      </c>
      <c r="J1206" s="40" t="n">
        <f aca="false">DATE(YEAR(A1206),MONTH(A1206),1)</f>
        <v>46266</v>
      </c>
    </row>
    <row r="1207" customFormat="false" ht="15" hidden="false" customHeight="false" outlineLevel="0" collapsed="false">
      <c r="A1207" s="34" t="n">
        <v>46280</v>
      </c>
      <c r="B1207" s="28" t="s">
        <v>147</v>
      </c>
      <c r="C1207" s="35" t="n">
        <v>26253</v>
      </c>
      <c r="D1207" s="35" t="n">
        <v>337</v>
      </c>
      <c r="E1207" s="35" t="n">
        <v>6</v>
      </c>
      <c r="F1207" s="35" t="n">
        <v>1</v>
      </c>
      <c r="G1207" s="35" t="n">
        <v>3340</v>
      </c>
      <c r="H1207" s="35" t="n">
        <v>6674</v>
      </c>
      <c r="I1207" s="28" t="str">
        <f aca="false">INDEX(Campaigns!$C$2:$C$31,MATCH(B1207,Campaigns!$A$2:$A$31,0))</f>
        <v>Facebook &amp; Instagram Ads</v>
      </c>
      <c r="J1207" s="40" t="n">
        <f aca="false">DATE(YEAR(A1207),MONTH(A1207),1)</f>
        <v>46266</v>
      </c>
    </row>
    <row r="1208" customFormat="false" ht="15" hidden="false" customHeight="false" outlineLevel="0" collapsed="false">
      <c r="A1208" s="34" t="n">
        <v>46280</v>
      </c>
      <c r="B1208" s="28" t="s">
        <v>152</v>
      </c>
      <c r="C1208" s="35" t="n">
        <v>7743</v>
      </c>
      <c r="D1208" s="35" t="n">
        <v>68</v>
      </c>
      <c r="E1208" s="35" t="n">
        <v>4</v>
      </c>
      <c r="F1208" s="35" t="n">
        <v>1</v>
      </c>
      <c r="G1208" s="35" t="n">
        <v>4880</v>
      </c>
      <c r="H1208" s="35" t="n">
        <v>4967</v>
      </c>
      <c r="I1208" s="28" t="str">
        <f aca="false">INDEX(Campaigns!$C$2:$C$31,MATCH(B1208,Campaigns!$A$2:$A$31,0))</f>
        <v>Influencer Partnerships</v>
      </c>
      <c r="J1208" s="40" t="n">
        <f aca="false">DATE(YEAR(A1208),MONTH(A1208),1)</f>
        <v>46266</v>
      </c>
    </row>
    <row r="1209" customFormat="false" ht="15" hidden="false" customHeight="false" outlineLevel="0" collapsed="false">
      <c r="A1209" s="34" t="n">
        <v>46280</v>
      </c>
      <c r="B1209" s="28" t="s">
        <v>158</v>
      </c>
      <c r="C1209" s="35" t="n">
        <v>20160</v>
      </c>
      <c r="D1209" s="35" t="n">
        <v>179</v>
      </c>
      <c r="E1209" s="35" t="n">
        <v>28</v>
      </c>
      <c r="F1209" s="35" t="n">
        <v>2</v>
      </c>
      <c r="G1209" s="35" t="n">
        <v>5990</v>
      </c>
      <c r="H1209" s="35" t="n">
        <v>11901</v>
      </c>
      <c r="I1209" s="28" t="str">
        <f aca="false">INDEX(Campaigns!$C$2:$C$31,MATCH(B1209,Campaigns!$A$2:$A$31,0))</f>
        <v>Influencer Partnerships</v>
      </c>
      <c r="J1209" s="40" t="n">
        <f aca="false">DATE(YEAR(A1209),MONTH(A1209),1)</f>
        <v>46266</v>
      </c>
    </row>
    <row r="1210" customFormat="false" ht="15" hidden="false" customHeight="false" outlineLevel="0" collapsed="false">
      <c r="A1210" s="34" t="n">
        <v>46280</v>
      </c>
      <c r="B1210" s="28" t="s">
        <v>161</v>
      </c>
      <c r="C1210" s="35" t="n">
        <v>37312</v>
      </c>
      <c r="D1210" s="35" t="n">
        <v>479</v>
      </c>
      <c r="E1210" s="35" t="n">
        <v>9</v>
      </c>
      <c r="F1210" s="35" t="n">
        <v>3</v>
      </c>
      <c r="G1210" s="35" t="n">
        <v>11110</v>
      </c>
      <c r="H1210" s="35" t="n">
        <v>9194</v>
      </c>
      <c r="I1210" s="28" t="str">
        <f aca="false">INDEX(Campaigns!$C$2:$C$31,MATCH(B1210,Campaigns!$A$2:$A$31,0))</f>
        <v>Facebook &amp; Instagram Ads</v>
      </c>
      <c r="J1210" s="40" t="n">
        <f aca="false">DATE(YEAR(A1210),MONTH(A1210),1)</f>
        <v>46266</v>
      </c>
    </row>
    <row r="1211" customFormat="false" ht="15" hidden="false" customHeight="false" outlineLevel="0" collapsed="false">
      <c r="A1211" s="34" t="n">
        <v>46281</v>
      </c>
      <c r="B1211" s="28" t="s">
        <v>105</v>
      </c>
      <c r="C1211" s="35" t="n">
        <v>6111</v>
      </c>
      <c r="D1211" s="35" t="n">
        <v>220</v>
      </c>
      <c r="E1211" s="35" t="n">
        <v>8</v>
      </c>
      <c r="F1211" s="35" t="n">
        <v>4</v>
      </c>
      <c r="G1211" s="35" t="n">
        <v>15710</v>
      </c>
      <c r="H1211" s="35" t="n">
        <v>5426</v>
      </c>
      <c r="I1211" s="28" t="str">
        <f aca="false">INDEX(Campaigns!$C$2:$C$31,MATCH(B1211,Campaigns!$A$2:$A$31,0))</f>
        <v>Google Search Ads</v>
      </c>
      <c r="J1211" s="40" t="n">
        <f aca="false">DATE(YEAR(A1211),MONTH(A1211),1)</f>
        <v>46266</v>
      </c>
    </row>
    <row r="1212" customFormat="false" ht="15" hidden="false" customHeight="false" outlineLevel="0" collapsed="false">
      <c r="A1212" s="34" t="n">
        <v>46281</v>
      </c>
      <c r="B1212" s="28" t="s">
        <v>110</v>
      </c>
      <c r="C1212" s="35" t="n">
        <v>11707</v>
      </c>
      <c r="D1212" s="35" t="n">
        <v>125</v>
      </c>
      <c r="E1212" s="35" t="n">
        <v>22</v>
      </c>
      <c r="F1212" s="35" t="n">
        <v>1</v>
      </c>
      <c r="G1212" s="35" t="n">
        <v>2370</v>
      </c>
      <c r="H1212" s="35" t="n">
        <v>7500</v>
      </c>
      <c r="I1212" s="28" t="str">
        <f aca="false">INDEX(Campaigns!$C$2:$C$31,MATCH(B1212,Campaigns!$A$2:$A$31,0))</f>
        <v>Influencer Partnerships</v>
      </c>
      <c r="J1212" s="40" t="n">
        <f aca="false">DATE(YEAR(A1212),MONTH(A1212),1)</f>
        <v>46266</v>
      </c>
    </row>
    <row r="1213" customFormat="false" ht="15" hidden="false" customHeight="false" outlineLevel="0" collapsed="false">
      <c r="A1213" s="34" t="n">
        <v>46281</v>
      </c>
      <c r="B1213" s="28" t="s">
        <v>114</v>
      </c>
      <c r="C1213" s="35" t="n">
        <v>734</v>
      </c>
      <c r="D1213" s="35" t="n">
        <v>45</v>
      </c>
      <c r="E1213" s="35" t="n">
        <v>1</v>
      </c>
      <c r="F1213" s="35" t="n">
        <v>3</v>
      </c>
      <c r="G1213" s="35" t="n">
        <v>9120</v>
      </c>
      <c r="H1213" s="35" t="n">
        <v>1039</v>
      </c>
      <c r="I1213" s="28" t="str">
        <f aca="false">INDEX(Campaigns!$C$2:$C$31,MATCH(B1213,Campaigns!$A$2:$A$31,0))</f>
        <v>WhatsApp Broadcast</v>
      </c>
      <c r="J1213" s="40" t="n">
        <f aca="false">DATE(YEAR(A1213),MONTH(A1213),1)</f>
        <v>46266</v>
      </c>
    </row>
    <row r="1214" customFormat="false" ht="15" hidden="false" customHeight="false" outlineLevel="0" collapsed="false">
      <c r="A1214" s="34" t="n">
        <v>46281</v>
      </c>
      <c r="B1214" s="28" t="s">
        <v>116</v>
      </c>
      <c r="C1214" s="35" t="n">
        <v>24083</v>
      </c>
      <c r="D1214" s="35" t="n">
        <v>289</v>
      </c>
      <c r="E1214" s="35" t="n">
        <v>7</v>
      </c>
      <c r="F1214" s="35" t="n">
        <v>4</v>
      </c>
      <c r="G1214" s="35" t="n">
        <v>13240</v>
      </c>
      <c r="H1214" s="35" t="n">
        <v>5568</v>
      </c>
      <c r="I1214" s="28" t="str">
        <f aca="false">INDEX(Campaigns!$C$2:$C$31,MATCH(B1214,Campaigns!$A$2:$A$31,0))</f>
        <v>Facebook &amp; Instagram Ads</v>
      </c>
      <c r="J1214" s="40" t="n">
        <f aca="false">DATE(YEAR(A1214),MONTH(A1214),1)</f>
        <v>46266</v>
      </c>
    </row>
    <row r="1215" customFormat="false" ht="15" hidden="false" customHeight="false" outlineLevel="0" collapsed="false">
      <c r="A1215" s="34" t="n">
        <v>46281</v>
      </c>
      <c r="B1215" s="28" t="s">
        <v>118</v>
      </c>
      <c r="C1215" s="35" t="n">
        <v>2692</v>
      </c>
      <c r="D1215" s="35" t="n">
        <v>127</v>
      </c>
      <c r="E1215" s="35" t="n">
        <v>4</v>
      </c>
      <c r="F1215" s="35" t="n">
        <v>4</v>
      </c>
      <c r="G1215" s="35" t="n">
        <v>16690</v>
      </c>
      <c r="H1215" s="35" t="n">
        <v>2319</v>
      </c>
      <c r="I1215" s="28" t="str">
        <f aca="false">INDEX(Campaigns!$C$2:$C$31,MATCH(B1215,Campaigns!$A$2:$A$31,0))</f>
        <v>Google Search Ads</v>
      </c>
      <c r="J1215" s="40" t="n">
        <f aca="false">DATE(YEAR(A1215),MONTH(A1215),1)</f>
        <v>46266</v>
      </c>
    </row>
    <row r="1216" customFormat="false" ht="15" hidden="false" customHeight="false" outlineLevel="0" collapsed="false">
      <c r="A1216" s="34" t="n">
        <v>46281</v>
      </c>
      <c r="B1216" s="28" t="s">
        <v>124</v>
      </c>
      <c r="C1216" s="35" t="n">
        <v>6638</v>
      </c>
      <c r="D1216" s="35" t="n">
        <v>145</v>
      </c>
      <c r="E1216" s="35" t="n">
        <v>6</v>
      </c>
      <c r="F1216" s="35" t="n">
        <v>1</v>
      </c>
      <c r="G1216" s="35" t="n">
        <v>2570</v>
      </c>
      <c r="H1216" s="35" t="n">
        <v>2280</v>
      </c>
      <c r="I1216" s="28" t="str">
        <f aca="false">INDEX(Campaigns!$C$2:$C$31,MATCH(B1216,Campaigns!$A$2:$A$31,0))</f>
        <v>Email</v>
      </c>
      <c r="J1216" s="40" t="n">
        <f aca="false">DATE(YEAR(A1216),MONTH(A1216),1)</f>
        <v>46266</v>
      </c>
    </row>
    <row r="1217" customFormat="false" ht="15" hidden="false" customHeight="false" outlineLevel="0" collapsed="false">
      <c r="A1217" s="34" t="n">
        <v>46281</v>
      </c>
      <c r="B1217" s="28" t="s">
        <v>132</v>
      </c>
      <c r="C1217" s="35" t="n">
        <v>38575</v>
      </c>
      <c r="D1217" s="35" t="n">
        <v>504</v>
      </c>
      <c r="E1217" s="35" t="n">
        <v>78</v>
      </c>
      <c r="F1217" s="35" t="n">
        <v>9</v>
      </c>
      <c r="G1217" s="35" t="n">
        <v>33000</v>
      </c>
      <c r="H1217" s="35" t="n">
        <v>9276</v>
      </c>
      <c r="I1217" s="28" t="str">
        <f aca="false">INDEX(Campaigns!$C$2:$C$31,MATCH(B1217,Campaigns!$A$2:$A$31,0))</f>
        <v>Facebook &amp; Instagram Ads</v>
      </c>
      <c r="J1217" s="40" t="n">
        <f aca="false">DATE(YEAR(A1217),MONTH(A1217),1)</f>
        <v>46266</v>
      </c>
    </row>
    <row r="1218" customFormat="false" ht="15" hidden="false" customHeight="false" outlineLevel="0" collapsed="false">
      <c r="A1218" s="34" t="n">
        <v>46281</v>
      </c>
      <c r="B1218" s="28" t="s">
        <v>138</v>
      </c>
      <c r="C1218" s="35" t="n">
        <v>3162</v>
      </c>
      <c r="D1218" s="35" t="n">
        <v>134</v>
      </c>
      <c r="E1218" s="35" t="n">
        <v>5</v>
      </c>
      <c r="F1218" s="35" t="n">
        <v>4</v>
      </c>
      <c r="G1218" s="35" t="n">
        <v>13060</v>
      </c>
      <c r="H1218" s="35" t="n">
        <v>4285</v>
      </c>
      <c r="I1218" s="28" t="str">
        <f aca="false">INDEX(Campaigns!$C$2:$C$31,MATCH(B1218,Campaigns!$A$2:$A$31,0))</f>
        <v>WhatsApp Broadcast</v>
      </c>
      <c r="J1218" s="40" t="n">
        <f aca="false">DATE(YEAR(A1218),MONTH(A1218),1)</f>
        <v>46266</v>
      </c>
    </row>
    <row r="1219" customFormat="false" ht="15" hidden="false" customHeight="false" outlineLevel="0" collapsed="false">
      <c r="A1219" s="34" t="n">
        <v>46281</v>
      </c>
      <c r="B1219" s="28" t="s">
        <v>139</v>
      </c>
      <c r="C1219" s="35" t="n">
        <v>13768</v>
      </c>
      <c r="D1219" s="35" t="n">
        <v>153</v>
      </c>
      <c r="E1219" s="35" t="n">
        <v>3</v>
      </c>
      <c r="F1219" s="35" t="n">
        <v>2</v>
      </c>
      <c r="G1219" s="35" t="n">
        <v>5520</v>
      </c>
      <c r="H1219" s="35" t="n">
        <v>2634</v>
      </c>
      <c r="I1219" s="28" t="str">
        <f aca="false">INDEX(Campaigns!$C$2:$C$31,MATCH(B1219,Campaigns!$A$2:$A$31,0))</f>
        <v>TikTok Ads</v>
      </c>
      <c r="J1219" s="40" t="n">
        <f aca="false">DATE(YEAR(A1219),MONTH(A1219),1)</f>
        <v>46266</v>
      </c>
    </row>
    <row r="1220" customFormat="false" ht="15" hidden="false" customHeight="false" outlineLevel="0" collapsed="false">
      <c r="A1220" s="34" t="n">
        <v>46281</v>
      </c>
      <c r="B1220" s="28" t="s">
        <v>143</v>
      </c>
      <c r="C1220" s="35" t="n">
        <v>24269</v>
      </c>
      <c r="D1220" s="35" t="n">
        <v>1277</v>
      </c>
      <c r="E1220" s="35" t="n">
        <v>53</v>
      </c>
      <c r="F1220" s="35" t="n">
        <v>72</v>
      </c>
      <c r="G1220" s="35" t="n">
        <v>262680</v>
      </c>
      <c r="H1220" s="35" t="n">
        <v>21826</v>
      </c>
      <c r="I1220" s="28" t="str">
        <f aca="false">INDEX(Campaigns!$C$2:$C$31,MATCH(B1220,Campaigns!$A$2:$A$31,0))</f>
        <v>Google Search Ads</v>
      </c>
      <c r="J1220" s="40" t="n">
        <f aca="false">DATE(YEAR(A1220),MONTH(A1220),1)</f>
        <v>46266</v>
      </c>
    </row>
    <row r="1221" customFormat="false" ht="15" hidden="false" customHeight="false" outlineLevel="0" collapsed="false">
      <c r="A1221" s="34" t="n">
        <v>46281</v>
      </c>
      <c r="B1221" s="28" t="s">
        <v>147</v>
      </c>
      <c r="C1221" s="35" t="n">
        <v>24263</v>
      </c>
      <c r="D1221" s="35" t="n">
        <v>317</v>
      </c>
      <c r="E1221" s="35" t="n">
        <v>6</v>
      </c>
      <c r="F1221" s="35" t="n">
        <v>1</v>
      </c>
      <c r="G1221" s="35" t="n">
        <v>2450</v>
      </c>
      <c r="H1221" s="35" t="n">
        <v>6329</v>
      </c>
      <c r="I1221" s="28" t="str">
        <f aca="false">INDEX(Campaigns!$C$2:$C$31,MATCH(B1221,Campaigns!$A$2:$A$31,0))</f>
        <v>Facebook &amp; Instagram Ads</v>
      </c>
      <c r="J1221" s="40" t="n">
        <f aca="false">DATE(YEAR(A1221),MONTH(A1221),1)</f>
        <v>46266</v>
      </c>
    </row>
    <row r="1222" customFormat="false" ht="15" hidden="false" customHeight="false" outlineLevel="0" collapsed="false">
      <c r="A1222" s="34" t="n">
        <v>46281</v>
      </c>
      <c r="B1222" s="28" t="s">
        <v>152</v>
      </c>
      <c r="C1222" s="35" t="n">
        <v>7323</v>
      </c>
      <c r="D1222" s="35" t="n">
        <v>70</v>
      </c>
      <c r="E1222" s="35" t="n">
        <v>1</v>
      </c>
      <c r="F1222" s="35" t="n">
        <v>1</v>
      </c>
      <c r="G1222" s="35" t="n">
        <v>4090</v>
      </c>
      <c r="H1222" s="35" t="n">
        <v>4228</v>
      </c>
      <c r="I1222" s="28" t="str">
        <f aca="false">INDEX(Campaigns!$C$2:$C$31,MATCH(B1222,Campaigns!$A$2:$A$31,0))</f>
        <v>Influencer Partnerships</v>
      </c>
      <c r="J1222" s="40" t="n">
        <f aca="false">DATE(YEAR(A1222),MONTH(A1222),1)</f>
        <v>46266</v>
      </c>
    </row>
    <row r="1223" customFormat="false" ht="15" hidden="false" customHeight="false" outlineLevel="0" collapsed="false">
      <c r="A1223" s="34" t="n">
        <v>46281</v>
      </c>
      <c r="B1223" s="28" t="s">
        <v>158</v>
      </c>
      <c r="C1223" s="35" t="n">
        <v>16854</v>
      </c>
      <c r="D1223" s="35" t="n">
        <v>162</v>
      </c>
      <c r="E1223" s="35" t="n">
        <v>27</v>
      </c>
      <c r="F1223" s="35" t="n">
        <v>2</v>
      </c>
      <c r="G1223" s="35" t="n">
        <v>7130</v>
      </c>
      <c r="H1223" s="35" t="n">
        <v>9273</v>
      </c>
      <c r="I1223" s="28" t="str">
        <f aca="false">INDEX(Campaigns!$C$2:$C$31,MATCH(B1223,Campaigns!$A$2:$A$31,0))</f>
        <v>Influencer Partnerships</v>
      </c>
      <c r="J1223" s="40" t="n">
        <f aca="false">DATE(YEAR(A1223),MONTH(A1223),1)</f>
        <v>46266</v>
      </c>
    </row>
    <row r="1224" customFormat="false" ht="15" hidden="false" customHeight="false" outlineLevel="0" collapsed="false">
      <c r="A1224" s="34" t="n">
        <v>46281</v>
      </c>
      <c r="B1224" s="28" t="s">
        <v>161</v>
      </c>
      <c r="C1224" s="35" t="n">
        <v>48420</v>
      </c>
      <c r="D1224" s="35" t="n">
        <v>615</v>
      </c>
      <c r="E1224" s="35" t="n">
        <v>9</v>
      </c>
      <c r="F1224" s="35" t="n">
        <v>1</v>
      </c>
      <c r="G1224" s="35" t="n">
        <v>3510</v>
      </c>
      <c r="H1224" s="35" t="n">
        <v>11625</v>
      </c>
      <c r="I1224" s="28" t="str">
        <f aca="false">INDEX(Campaigns!$C$2:$C$31,MATCH(B1224,Campaigns!$A$2:$A$31,0))</f>
        <v>Facebook &amp; Instagram Ads</v>
      </c>
      <c r="J1224" s="40" t="n">
        <f aca="false">DATE(YEAR(A1224),MONTH(A1224),1)</f>
        <v>46266</v>
      </c>
    </row>
    <row r="1225" customFormat="false" ht="15" hidden="false" customHeight="false" outlineLevel="0" collapsed="false">
      <c r="A1225" s="34" t="n">
        <v>46282</v>
      </c>
      <c r="B1225" s="28" t="s">
        <v>110</v>
      </c>
      <c r="C1225" s="35" t="n">
        <v>14573</v>
      </c>
      <c r="D1225" s="35" t="n">
        <v>155</v>
      </c>
      <c r="E1225" s="35" t="n">
        <v>19</v>
      </c>
      <c r="F1225" s="35" t="n">
        <v>0</v>
      </c>
      <c r="G1225" s="35" t="n">
        <v>0</v>
      </c>
      <c r="H1225" s="35" t="n">
        <v>9528</v>
      </c>
      <c r="I1225" s="28" t="str">
        <f aca="false">INDEX(Campaigns!$C$2:$C$31,MATCH(B1225,Campaigns!$A$2:$A$31,0))</f>
        <v>Influencer Partnerships</v>
      </c>
      <c r="J1225" s="40" t="n">
        <f aca="false">DATE(YEAR(A1225),MONTH(A1225),1)</f>
        <v>46266</v>
      </c>
    </row>
    <row r="1226" customFormat="false" ht="15" hidden="false" customHeight="false" outlineLevel="0" collapsed="false">
      <c r="A1226" s="34" t="n">
        <v>46282</v>
      </c>
      <c r="B1226" s="28" t="s">
        <v>114</v>
      </c>
      <c r="C1226" s="35" t="n">
        <v>736</v>
      </c>
      <c r="D1226" s="35" t="n">
        <v>36</v>
      </c>
      <c r="E1226" s="35" t="n">
        <v>1</v>
      </c>
      <c r="F1226" s="35" t="n">
        <v>2</v>
      </c>
      <c r="G1226" s="35" t="n">
        <v>6530</v>
      </c>
      <c r="H1226" s="35" t="n">
        <v>1009</v>
      </c>
      <c r="I1226" s="28" t="str">
        <f aca="false">INDEX(Campaigns!$C$2:$C$31,MATCH(B1226,Campaigns!$A$2:$A$31,0))</f>
        <v>WhatsApp Broadcast</v>
      </c>
      <c r="J1226" s="40" t="n">
        <f aca="false">DATE(YEAR(A1226),MONTH(A1226),1)</f>
        <v>46266</v>
      </c>
    </row>
    <row r="1227" customFormat="false" ht="15" hidden="false" customHeight="false" outlineLevel="0" collapsed="false">
      <c r="A1227" s="34" t="n">
        <v>46282</v>
      </c>
      <c r="B1227" s="28" t="s">
        <v>116</v>
      </c>
      <c r="C1227" s="35" t="n">
        <v>23974</v>
      </c>
      <c r="D1227" s="35" t="n">
        <v>287</v>
      </c>
      <c r="E1227" s="35" t="n">
        <v>7</v>
      </c>
      <c r="F1227" s="35" t="n">
        <v>4</v>
      </c>
      <c r="G1227" s="35" t="n">
        <v>8840</v>
      </c>
      <c r="H1227" s="35" t="n">
        <v>5589</v>
      </c>
      <c r="I1227" s="28" t="str">
        <f aca="false">INDEX(Campaigns!$C$2:$C$31,MATCH(B1227,Campaigns!$A$2:$A$31,0))</f>
        <v>Facebook &amp; Instagram Ads</v>
      </c>
      <c r="J1227" s="40" t="n">
        <f aca="false">DATE(YEAR(A1227),MONTH(A1227),1)</f>
        <v>46266</v>
      </c>
    </row>
    <row r="1228" customFormat="false" ht="15" hidden="false" customHeight="false" outlineLevel="0" collapsed="false">
      <c r="A1228" s="34" t="n">
        <v>46282</v>
      </c>
      <c r="B1228" s="28" t="s">
        <v>118</v>
      </c>
      <c r="C1228" s="35" t="n">
        <v>2589</v>
      </c>
      <c r="D1228" s="35" t="n">
        <v>124</v>
      </c>
      <c r="E1228" s="35" t="n">
        <v>2</v>
      </c>
      <c r="F1228" s="35" t="n">
        <v>5</v>
      </c>
      <c r="G1228" s="35" t="n">
        <v>18260</v>
      </c>
      <c r="H1228" s="35" t="n">
        <v>2311</v>
      </c>
      <c r="I1228" s="28" t="str">
        <f aca="false">INDEX(Campaigns!$C$2:$C$31,MATCH(B1228,Campaigns!$A$2:$A$31,0))</f>
        <v>Google Search Ads</v>
      </c>
      <c r="J1228" s="40" t="n">
        <f aca="false">DATE(YEAR(A1228),MONTH(A1228),1)</f>
        <v>46266</v>
      </c>
    </row>
    <row r="1229" customFormat="false" ht="15" hidden="false" customHeight="false" outlineLevel="0" collapsed="false">
      <c r="A1229" s="34" t="n">
        <v>46282</v>
      </c>
      <c r="B1229" s="28" t="s">
        <v>124</v>
      </c>
      <c r="C1229" s="35" t="n">
        <v>8148</v>
      </c>
      <c r="D1229" s="35" t="n">
        <v>194</v>
      </c>
      <c r="E1229" s="35" t="n">
        <v>9</v>
      </c>
      <c r="F1229" s="35" t="n">
        <v>4</v>
      </c>
      <c r="G1229" s="35" t="n">
        <v>12230</v>
      </c>
      <c r="H1229" s="35" t="n">
        <v>2739</v>
      </c>
      <c r="I1229" s="28" t="str">
        <f aca="false">INDEX(Campaigns!$C$2:$C$31,MATCH(B1229,Campaigns!$A$2:$A$31,0))</f>
        <v>Email</v>
      </c>
      <c r="J1229" s="40" t="n">
        <f aca="false">DATE(YEAR(A1229),MONTH(A1229),1)</f>
        <v>46266</v>
      </c>
    </row>
    <row r="1230" customFormat="false" ht="15" hidden="false" customHeight="false" outlineLevel="0" collapsed="false">
      <c r="A1230" s="34" t="n">
        <v>46282</v>
      </c>
      <c r="B1230" s="28" t="s">
        <v>132</v>
      </c>
      <c r="C1230" s="35" t="n">
        <v>33464</v>
      </c>
      <c r="D1230" s="35" t="n">
        <v>444</v>
      </c>
      <c r="E1230" s="35" t="n">
        <v>62</v>
      </c>
      <c r="F1230" s="35" t="n">
        <v>7</v>
      </c>
      <c r="G1230" s="35" t="n">
        <v>19360</v>
      </c>
      <c r="H1230" s="35" t="n">
        <v>8796</v>
      </c>
      <c r="I1230" s="28" t="str">
        <f aca="false">INDEX(Campaigns!$C$2:$C$31,MATCH(B1230,Campaigns!$A$2:$A$31,0))</f>
        <v>Facebook &amp; Instagram Ads</v>
      </c>
      <c r="J1230" s="40" t="n">
        <f aca="false">DATE(YEAR(A1230),MONTH(A1230),1)</f>
        <v>46266</v>
      </c>
    </row>
    <row r="1231" customFormat="false" ht="15" hidden="false" customHeight="false" outlineLevel="0" collapsed="false">
      <c r="A1231" s="34" t="n">
        <v>46282</v>
      </c>
      <c r="B1231" s="28" t="s">
        <v>138</v>
      </c>
      <c r="C1231" s="35" t="n">
        <v>2793</v>
      </c>
      <c r="D1231" s="35" t="n">
        <v>128</v>
      </c>
      <c r="E1231" s="35" t="n">
        <v>0</v>
      </c>
      <c r="F1231" s="35" t="n">
        <v>3</v>
      </c>
      <c r="G1231" s="35" t="n">
        <v>9780</v>
      </c>
      <c r="H1231" s="35" t="n">
        <v>4328</v>
      </c>
      <c r="I1231" s="28" t="str">
        <f aca="false">INDEX(Campaigns!$C$2:$C$31,MATCH(B1231,Campaigns!$A$2:$A$31,0))</f>
        <v>WhatsApp Broadcast</v>
      </c>
      <c r="J1231" s="40" t="n">
        <f aca="false">DATE(YEAR(A1231),MONTH(A1231),1)</f>
        <v>46266</v>
      </c>
    </row>
    <row r="1232" customFormat="false" ht="15" hidden="false" customHeight="false" outlineLevel="0" collapsed="false">
      <c r="A1232" s="34" t="n">
        <v>46282</v>
      </c>
      <c r="B1232" s="28" t="s">
        <v>139</v>
      </c>
      <c r="C1232" s="35" t="n">
        <v>13002</v>
      </c>
      <c r="D1232" s="35" t="n">
        <v>133</v>
      </c>
      <c r="E1232" s="35" t="n">
        <v>9</v>
      </c>
      <c r="F1232" s="35" t="n">
        <v>1</v>
      </c>
      <c r="G1232" s="35" t="n">
        <v>3140</v>
      </c>
      <c r="H1232" s="35" t="n">
        <v>2595</v>
      </c>
      <c r="I1232" s="28" t="str">
        <f aca="false">INDEX(Campaigns!$C$2:$C$31,MATCH(B1232,Campaigns!$A$2:$A$31,0))</f>
        <v>TikTok Ads</v>
      </c>
      <c r="J1232" s="40" t="n">
        <f aca="false">DATE(YEAR(A1232),MONTH(A1232),1)</f>
        <v>46266</v>
      </c>
    </row>
    <row r="1233" customFormat="false" ht="15" hidden="false" customHeight="false" outlineLevel="0" collapsed="false">
      <c r="A1233" s="34" t="n">
        <v>46282</v>
      </c>
      <c r="B1233" s="28" t="s">
        <v>143</v>
      </c>
      <c r="C1233" s="35" t="n">
        <v>27254</v>
      </c>
      <c r="D1233" s="35" t="n">
        <v>1365</v>
      </c>
      <c r="E1233" s="35" t="n">
        <v>50</v>
      </c>
      <c r="F1233" s="35" t="n">
        <v>69</v>
      </c>
      <c r="G1233" s="35" t="n">
        <v>245580</v>
      </c>
      <c r="H1233" s="35" t="n">
        <v>23165</v>
      </c>
      <c r="I1233" s="28" t="str">
        <f aca="false">INDEX(Campaigns!$C$2:$C$31,MATCH(B1233,Campaigns!$A$2:$A$31,0))</f>
        <v>Google Search Ads</v>
      </c>
      <c r="J1233" s="40" t="n">
        <f aca="false">DATE(YEAR(A1233),MONTH(A1233),1)</f>
        <v>46266</v>
      </c>
    </row>
    <row r="1234" customFormat="false" ht="15" hidden="false" customHeight="false" outlineLevel="0" collapsed="false">
      <c r="A1234" s="34" t="n">
        <v>46282</v>
      </c>
      <c r="B1234" s="28" t="s">
        <v>147</v>
      </c>
      <c r="C1234" s="35" t="n">
        <v>27418</v>
      </c>
      <c r="D1234" s="35" t="n">
        <v>376</v>
      </c>
      <c r="E1234" s="35" t="n">
        <v>8</v>
      </c>
      <c r="F1234" s="35" t="n">
        <v>2</v>
      </c>
      <c r="G1234" s="35" t="n">
        <v>5460</v>
      </c>
      <c r="H1234" s="35" t="n">
        <v>6440</v>
      </c>
      <c r="I1234" s="28" t="str">
        <f aca="false">INDEX(Campaigns!$C$2:$C$31,MATCH(B1234,Campaigns!$A$2:$A$31,0))</f>
        <v>Facebook &amp; Instagram Ads</v>
      </c>
      <c r="J1234" s="40" t="n">
        <f aca="false">DATE(YEAR(A1234),MONTH(A1234),1)</f>
        <v>46266</v>
      </c>
    </row>
    <row r="1235" customFormat="false" ht="15" hidden="false" customHeight="false" outlineLevel="0" collapsed="false">
      <c r="A1235" s="34" t="n">
        <v>46282</v>
      </c>
      <c r="B1235" s="28" t="s">
        <v>152</v>
      </c>
      <c r="C1235" s="35" t="n">
        <v>7378</v>
      </c>
      <c r="D1235" s="35" t="n">
        <v>59</v>
      </c>
      <c r="E1235" s="35" t="n">
        <v>4</v>
      </c>
      <c r="F1235" s="35" t="n">
        <v>0</v>
      </c>
      <c r="G1235" s="35" t="n">
        <v>0</v>
      </c>
      <c r="H1235" s="35" t="n">
        <v>4595</v>
      </c>
      <c r="I1235" s="28" t="str">
        <f aca="false">INDEX(Campaigns!$C$2:$C$31,MATCH(B1235,Campaigns!$A$2:$A$31,0))</f>
        <v>Influencer Partnerships</v>
      </c>
      <c r="J1235" s="40" t="n">
        <f aca="false">DATE(YEAR(A1235),MONTH(A1235),1)</f>
        <v>46266</v>
      </c>
    </row>
    <row r="1236" customFormat="false" ht="15" hidden="false" customHeight="false" outlineLevel="0" collapsed="false">
      <c r="A1236" s="34" t="n">
        <v>46282</v>
      </c>
      <c r="B1236" s="28" t="s">
        <v>158</v>
      </c>
      <c r="C1236" s="35" t="n">
        <v>15220</v>
      </c>
      <c r="D1236" s="35" t="n">
        <v>156</v>
      </c>
      <c r="E1236" s="35" t="n">
        <v>16</v>
      </c>
      <c r="F1236" s="35" t="n">
        <v>3</v>
      </c>
      <c r="G1236" s="35" t="n">
        <v>11720</v>
      </c>
      <c r="H1236" s="35" t="n">
        <v>9914</v>
      </c>
      <c r="I1236" s="28" t="str">
        <f aca="false">INDEX(Campaigns!$C$2:$C$31,MATCH(B1236,Campaigns!$A$2:$A$31,0))</f>
        <v>Influencer Partnerships</v>
      </c>
      <c r="J1236" s="40" t="n">
        <f aca="false">DATE(YEAR(A1236),MONTH(A1236),1)</f>
        <v>46266</v>
      </c>
    </row>
    <row r="1237" customFormat="false" ht="15" hidden="false" customHeight="false" outlineLevel="0" collapsed="false">
      <c r="A1237" s="34" t="n">
        <v>46282</v>
      </c>
      <c r="B1237" s="28" t="s">
        <v>161</v>
      </c>
      <c r="C1237" s="35" t="n">
        <v>39298</v>
      </c>
      <c r="D1237" s="35" t="n">
        <v>525</v>
      </c>
      <c r="E1237" s="35" t="n">
        <v>7</v>
      </c>
      <c r="F1237" s="35" t="n">
        <v>1</v>
      </c>
      <c r="G1237" s="35" t="n">
        <v>3220</v>
      </c>
      <c r="H1237" s="35" t="n">
        <v>9902</v>
      </c>
      <c r="I1237" s="28" t="str">
        <f aca="false">INDEX(Campaigns!$C$2:$C$31,MATCH(B1237,Campaigns!$A$2:$A$31,0))</f>
        <v>Facebook &amp; Instagram Ads</v>
      </c>
      <c r="J1237" s="40" t="n">
        <f aca="false">DATE(YEAR(A1237),MONTH(A1237),1)</f>
        <v>46266</v>
      </c>
    </row>
    <row r="1238" customFormat="false" ht="15" hidden="false" customHeight="false" outlineLevel="0" collapsed="false">
      <c r="A1238" s="34" t="n">
        <v>46283</v>
      </c>
      <c r="B1238" s="28" t="s">
        <v>110</v>
      </c>
      <c r="C1238" s="35" t="n">
        <v>18608</v>
      </c>
      <c r="D1238" s="35" t="n">
        <v>210</v>
      </c>
      <c r="E1238" s="35" t="n">
        <v>23</v>
      </c>
      <c r="F1238" s="35" t="n">
        <v>5</v>
      </c>
      <c r="G1238" s="35" t="n">
        <v>17710</v>
      </c>
      <c r="H1238" s="35" t="n">
        <v>10501</v>
      </c>
      <c r="I1238" s="28" t="str">
        <f aca="false">INDEX(Campaigns!$C$2:$C$31,MATCH(B1238,Campaigns!$A$2:$A$31,0))</f>
        <v>Influencer Partnerships</v>
      </c>
      <c r="J1238" s="40" t="n">
        <f aca="false">DATE(YEAR(A1238),MONTH(A1238),1)</f>
        <v>46266</v>
      </c>
    </row>
    <row r="1239" customFormat="false" ht="15" hidden="false" customHeight="false" outlineLevel="0" collapsed="false">
      <c r="A1239" s="34" t="n">
        <v>46283</v>
      </c>
      <c r="B1239" s="28" t="s">
        <v>114</v>
      </c>
      <c r="C1239" s="35" t="n">
        <v>695</v>
      </c>
      <c r="D1239" s="35" t="n">
        <v>37</v>
      </c>
      <c r="E1239" s="35" t="n">
        <v>2</v>
      </c>
      <c r="F1239" s="35" t="n">
        <v>1</v>
      </c>
      <c r="G1239" s="35" t="n">
        <v>2450</v>
      </c>
      <c r="H1239" s="35" t="n">
        <v>1035</v>
      </c>
      <c r="I1239" s="28" t="str">
        <f aca="false">INDEX(Campaigns!$C$2:$C$31,MATCH(B1239,Campaigns!$A$2:$A$31,0))</f>
        <v>WhatsApp Broadcast</v>
      </c>
      <c r="J1239" s="40" t="n">
        <f aca="false">DATE(YEAR(A1239),MONTH(A1239),1)</f>
        <v>46266</v>
      </c>
    </row>
    <row r="1240" customFormat="false" ht="15" hidden="false" customHeight="false" outlineLevel="0" collapsed="false">
      <c r="A1240" s="34" t="n">
        <v>46283</v>
      </c>
      <c r="B1240" s="28" t="s">
        <v>116</v>
      </c>
      <c r="C1240" s="35" t="n">
        <v>23751</v>
      </c>
      <c r="D1240" s="35" t="n">
        <v>269</v>
      </c>
      <c r="E1240" s="35" t="n">
        <v>9</v>
      </c>
      <c r="F1240" s="35" t="n">
        <v>3</v>
      </c>
      <c r="G1240" s="35" t="n">
        <v>9230</v>
      </c>
      <c r="H1240" s="35" t="n">
        <v>5414</v>
      </c>
      <c r="I1240" s="28" t="str">
        <f aca="false">INDEX(Campaigns!$C$2:$C$31,MATCH(B1240,Campaigns!$A$2:$A$31,0))</f>
        <v>Facebook &amp; Instagram Ads</v>
      </c>
      <c r="J1240" s="40" t="n">
        <f aca="false">DATE(YEAR(A1240),MONTH(A1240),1)</f>
        <v>46266</v>
      </c>
    </row>
    <row r="1241" customFormat="false" ht="15" hidden="false" customHeight="false" outlineLevel="0" collapsed="false">
      <c r="A1241" s="34" t="n">
        <v>46283</v>
      </c>
      <c r="B1241" s="28" t="s">
        <v>118</v>
      </c>
      <c r="C1241" s="35" t="n">
        <v>3189</v>
      </c>
      <c r="D1241" s="35" t="n">
        <v>160</v>
      </c>
      <c r="E1241" s="35" t="n">
        <v>9</v>
      </c>
      <c r="F1241" s="35" t="n">
        <v>10</v>
      </c>
      <c r="G1241" s="35" t="n">
        <v>39640</v>
      </c>
      <c r="H1241" s="35" t="n">
        <v>2997</v>
      </c>
      <c r="I1241" s="28" t="str">
        <f aca="false">INDEX(Campaigns!$C$2:$C$31,MATCH(B1241,Campaigns!$A$2:$A$31,0))</f>
        <v>Google Search Ads</v>
      </c>
      <c r="J1241" s="40" t="n">
        <f aca="false">DATE(YEAR(A1241),MONTH(A1241),1)</f>
        <v>46266</v>
      </c>
    </row>
    <row r="1242" customFormat="false" ht="15" hidden="false" customHeight="false" outlineLevel="0" collapsed="false">
      <c r="A1242" s="34" t="n">
        <v>46283</v>
      </c>
      <c r="B1242" s="28" t="s">
        <v>124</v>
      </c>
      <c r="C1242" s="35" t="n">
        <v>9168</v>
      </c>
      <c r="D1242" s="35" t="n">
        <v>208</v>
      </c>
      <c r="E1242" s="35" t="n">
        <v>13</v>
      </c>
      <c r="F1242" s="35" t="n">
        <v>2</v>
      </c>
      <c r="G1242" s="35" t="n">
        <v>5810</v>
      </c>
      <c r="H1242" s="35" t="n">
        <v>2979</v>
      </c>
      <c r="I1242" s="28" t="str">
        <f aca="false">INDEX(Campaigns!$C$2:$C$31,MATCH(B1242,Campaigns!$A$2:$A$31,0))</f>
        <v>Email</v>
      </c>
      <c r="J1242" s="40" t="n">
        <f aca="false">DATE(YEAR(A1242),MONTH(A1242),1)</f>
        <v>46266</v>
      </c>
    </row>
    <row r="1243" customFormat="false" ht="15" hidden="false" customHeight="false" outlineLevel="0" collapsed="false">
      <c r="A1243" s="34" t="n">
        <v>46283</v>
      </c>
      <c r="B1243" s="28" t="s">
        <v>132</v>
      </c>
      <c r="C1243" s="35" t="n">
        <v>37244</v>
      </c>
      <c r="D1243" s="35" t="n">
        <v>446</v>
      </c>
      <c r="E1243" s="35" t="n">
        <v>52</v>
      </c>
      <c r="F1243" s="35" t="n">
        <v>2</v>
      </c>
      <c r="G1243" s="35" t="n">
        <v>6120</v>
      </c>
      <c r="H1243" s="35" t="n">
        <v>9009</v>
      </c>
      <c r="I1243" s="28" t="str">
        <f aca="false">INDEX(Campaigns!$C$2:$C$31,MATCH(B1243,Campaigns!$A$2:$A$31,0))</f>
        <v>Facebook &amp; Instagram Ads</v>
      </c>
      <c r="J1243" s="40" t="n">
        <f aca="false">DATE(YEAR(A1243),MONTH(A1243),1)</f>
        <v>46266</v>
      </c>
    </row>
    <row r="1244" customFormat="false" ht="15" hidden="false" customHeight="false" outlineLevel="0" collapsed="false">
      <c r="A1244" s="34" t="n">
        <v>46283</v>
      </c>
      <c r="B1244" s="28" t="s">
        <v>138</v>
      </c>
      <c r="C1244" s="35" t="n">
        <v>3028</v>
      </c>
      <c r="D1244" s="35" t="n">
        <v>110</v>
      </c>
      <c r="E1244" s="35" t="n">
        <v>3</v>
      </c>
      <c r="F1244" s="35" t="n">
        <v>4</v>
      </c>
      <c r="G1244" s="35" t="n">
        <v>10950</v>
      </c>
      <c r="H1244" s="35" t="n">
        <v>4438</v>
      </c>
      <c r="I1244" s="28" t="str">
        <f aca="false">INDEX(Campaigns!$C$2:$C$31,MATCH(B1244,Campaigns!$A$2:$A$31,0))</f>
        <v>WhatsApp Broadcast</v>
      </c>
      <c r="J1244" s="40" t="n">
        <f aca="false">DATE(YEAR(A1244),MONTH(A1244),1)</f>
        <v>46266</v>
      </c>
    </row>
    <row r="1245" customFormat="false" ht="15" hidden="false" customHeight="false" outlineLevel="0" collapsed="false">
      <c r="A1245" s="34" t="n">
        <v>46283</v>
      </c>
      <c r="B1245" s="28" t="s">
        <v>139</v>
      </c>
      <c r="C1245" s="35" t="n">
        <v>16842</v>
      </c>
      <c r="D1245" s="35" t="n">
        <v>191</v>
      </c>
      <c r="E1245" s="35" t="n">
        <v>8</v>
      </c>
      <c r="F1245" s="35" t="n">
        <v>2</v>
      </c>
      <c r="G1245" s="35" t="n">
        <v>6290</v>
      </c>
      <c r="H1245" s="35" t="n">
        <v>3229</v>
      </c>
      <c r="I1245" s="28" t="str">
        <f aca="false">INDEX(Campaigns!$C$2:$C$31,MATCH(B1245,Campaigns!$A$2:$A$31,0))</f>
        <v>TikTok Ads</v>
      </c>
      <c r="J1245" s="40" t="n">
        <f aca="false">DATE(YEAR(A1245),MONTH(A1245),1)</f>
        <v>46266</v>
      </c>
    </row>
    <row r="1246" customFormat="false" ht="15" hidden="false" customHeight="false" outlineLevel="0" collapsed="false">
      <c r="A1246" s="34" t="n">
        <v>46283</v>
      </c>
      <c r="B1246" s="28" t="s">
        <v>143</v>
      </c>
      <c r="C1246" s="35" t="n">
        <v>28059</v>
      </c>
      <c r="D1246" s="35" t="n">
        <v>1444</v>
      </c>
      <c r="E1246" s="35" t="n">
        <v>46</v>
      </c>
      <c r="F1246" s="35" t="n">
        <v>84</v>
      </c>
      <c r="G1246" s="35" t="n">
        <v>310640</v>
      </c>
      <c r="H1246" s="35" t="n">
        <v>24059</v>
      </c>
      <c r="I1246" s="28" t="str">
        <f aca="false">INDEX(Campaigns!$C$2:$C$31,MATCH(B1246,Campaigns!$A$2:$A$31,0))</f>
        <v>Google Search Ads</v>
      </c>
      <c r="J1246" s="40" t="n">
        <f aca="false">DATE(YEAR(A1246),MONTH(A1246),1)</f>
        <v>46266</v>
      </c>
    </row>
    <row r="1247" customFormat="false" ht="15" hidden="false" customHeight="false" outlineLevel="0" collapsed="false">
      <c r="A1247" s="34" t="n">
        <v>46283</v>
      </c>
      <c r="B1247" s="28" t="s">
        <v>147</v>
      </c>
      <c r="C1247" s="35" t="n">
        <v>26627</v>
      </c>
      <c r="D1247" s="35" t="n">
        <v>347</v>
      </c>
      <c r="E1247" s="35" t="n">
        <v>5</v>
      </c>
      <c r="F1247" s="35" t="n">
        <v>1</v>
      </c>
      <c r="G1247" s="35" t="n">
        <v>2560</v>
      </c>
      <c r="H1247" s="35" t="n">
        <v>6180</v>
      </c>
      <c r="I1247" s="28" t="str">
        <f aca="false">INDEX(Campaigns!$C$2:$C$31,MATCH(B1247,Campaigns!$A$2:$A$31,0))</f>
        <v>Facebook &amp; Instagram Ads</v>
      </c>
      <c r="J1247" s="40" t="n">
        <f aca="false">DATE(YEAR(A1247),MONTH(A1247),1)</f>
        <v>46266</v>
      </c>
    </row>
    <row r="1248" customFormat="false" ht="15" hidden="false" customHeight="false" outlineLevel="0" collapsed="false">
      <c r="A1248" s="34" t="n">
        <v>46283</v>
      </c>
      <c r="B1248" s="28" t="s">
        <v>152</v>
      </c>
      <c r="C1248" s="35" t="n">
        <v>7952</v>
      </c>
      <c r="D1248" s="35" t="n">
        <v>67</v>
      </c>
      <c r="E1248" s="35" t="n">
        <v>0</v>
      </c>
      <c r="F1248" s="35" t="n">
        <v>0</v>
      </c>
      <c r="G1248" s="35" t="n">
        <v>0</v>
      </c>
      <c r="H1248" s="35" t="n">
        <v>5062</v>
      </c>
      <c r="I1248" s="28" t="str">
        <f aca="false">INDEX(Campaigns!$C$2:$C$31,MATCH(B1248,Campaigns!$A$2:$A$31,0))</f>
        <v>Influencer Partnerships</v>
      </c>
      <c r="J1248" s="40" t="n">
        <f aca="false">DATE(YEAR(A1248),MONTH(A1248),1)</f>
        <v>46266</v>
      </c>
    </row>
    <row r="1249" customFormat="false" ht="15" hidden="false" customHeight="false" outlineLevel="0" collapsed="false">
      <c r="A1249" s="34" t="n">
        <v>46283</v>
      </c>
      <c r="B1249" s="28" t="s">
        <v>158</v>
      </c>
      <c r="C1249" s="35" t="n">
        <v>22918</v>
      </c>
      <c r="D1249" s="35" t="n">
        <v>212</v>
      </c>
      <c r="E1249" s="35" t="n">
        <v>27</v>
      </c>
      <c r="F1249" s="35" t="n">
        <v>4</v>
      </c>
      <c r="G1249" s="35" t="n">
        <v>11800</v>
      </c>
      <c r="H1249" s="35" t="n">
        <v>12685</v>
      </c>
      <c r="I1249" s="28" t="str">
        <f aca="false">INDEX(Campaigns!$C$2:$C$31,MATCH(B1249,Campaigns!$A$2:$A$31,0))</f>
        <v>Influencer Partnerships</v>
      </c>
      <c r="J1249" s="40" t="n">
        <f aca="false">DATE(YEAR(A1249),MONTH(A1249),1)</f>
        <v>46266</v>
      </c>
    </row>
    <row r="1250" customFormat="false" ht="15" hidden="false" customHeight="false" outlineLevel="0" collapsed="false">
      <c r="A1250" s="34" t="n">
        <v>46283</v>
      </c>
      <c r="B1250" s="28" t="s">
        <v>161</v>
      </c>
      <c r="C1250" s="35" t="n">
        <v>50388</v>
      </c>
      <c r="D1250" s="35" t="n">
        <v>640</v>
      </c>
      <c r="E1250" s="35" t="n">
        <v>15</v>
      </c>
      <c r="F1250" s="35" t="n">
        <v>2</v>
      </c>
      <c r="G1250" s="35" t="n">
        <v>4830</v>
      </c>
      <c r="H1250" s="35" t="n">
        <v>11990</v>
      </c>
      <c r="I1250" s="28" t="str">
        <f aca="false">INDEX(Campaigns!$C$2:$C$31,MATCH(B1250,Campaigns!$A$2:$A$31,0))</f>
        <v>Facebook &amp; Instagram Ads</v>
      </c>
      <c r="J1250" s="40" t="n">
        <f aca="false">DATE(YEAR(A1250),MONTH(A1250),1)</f>
        <v>46266</v>
      </c>
    </row>
    <row r="1251" customFormat="false" ht="15" hidden="false" customHeight="false" outlineLevel="0" collapsed="false">
      <c r="A1251" s="34" t="n">
        <v>46284</v>
      </c>
      <c r="B1251" s="28" t="s">
        <v>110</v>
      </c>
      <c r="C1251" s="35" t="n">
        <v>13705</v>
      </c>
      <c r="D1251" s="35" t="n">
        <v>140</v>
      </c>
      <c r="E1251" s="35" t="n">
        <v>24</v>
      </c>
      <c r="F1251" s="35" t="n">
        <v>2</v>
      </c>
      <c r="G1251" s="35" t="n">
        <v>5570</v>
      </c>
      <c r="H1251" s="35" t="n">
        <v>8710</v>
      </c>
      <c r="I1251" s="28" t="str">
        <f aca="false">INDEX(Campaigns!$C$2:$C$31,MATCH(B1251,Campaigns!$A$2:$A$31,0))</f>
        <v>Influencer Partnerships</v>
      </c>
      <c r="J1251" s="40" t="n">
        <f aca="false">DATE(YEAR(A1251),MONTH(A1251),1)</f>
        <v>46266</v>
      </c>
    </row>
    <row r="1252" customFormat="false" ht="15" hidden="false" customHeight="false" outlineLevel="0" collapsed="false">
      <c r="A1252" s="34" t="n">
        <v>46284</v>
      </c>
      <c r="B1252" s="28" t="s">
        <v>114</v>
      </c>
      <c r="C1252" s="35" t="n">
        <v>685</v>
      </c>
      <c r="D1252" s="35" t="n">
        <v>41</v>
      </c>
      <c r="E1252" s="35" t="n">
        <v>1</v>
      </c>
      <c r="F1252" s="35" t="n">
        <v>3</v>
      </c>
      <c r="G1252" s="35" t="n">
        <v>9300</v>
      </c>
      <c r="H1252" s="35" t="n">
        <v>984</v>
      </c>
      <c r="I1252" s="28" t="str">
        <f aca="false">INDEX(Campaigns!$C$2:$C$31,MATCH(B1252,Campaigns!$A$2:$A$31,0))</f>
        <v>WhatsApp Broadcast</v>
      </c>
      <c r="J1252" s="40" t="n">
        <f aca="false">DATE(YEAR(A1252),MONTH(A1252),1)</f>
        <v>46266</v>
      </c>
    </row>
    <row r="1253" customFormat="false" ht="15" hidden="false" customHeight="false" outlineLevel="0" collapsed="false">
      <c r="A1253" s="34" t="n">
        <v>46284</v>
      </c>
      <c r="B1253" s="28" t="s">
        <v>118</v>
      </c>
      <c r="C1253" s="35" t="n">
        <v>3473</v>
      </c>
      <c r="D1253" s="35" t="n">
        <v>149</v>
      </c>
      <c r="E1253" s="35" t="n">
        <v>8</v>
      </c>
      <c r="F1253" s="35" t="n">
        <v>3</v>
      </c>
      <c r="G1253" s="35" t="n">
        <v>10230</v>
      </c>
      <c r="H1253" s="35" t="n">
        <v>2978</v>
      </c>
      <c r="I1253" s="28" t="str">
        <f aca="false">INDEX(Campaigns!$C$2:$C$31,MATCH(B1253,Campaigns!$A$2:$A$31,0))</f>
        <v>Google Search Ads</v>
      </c>
      <c r="J1253" s="40" t="n">
        <f aca="false">DATE(YEAR(A1253),MONTH(A1253),1)</f>
        <v>46266</v>
      </c>
    </row>
    <row r="1254" customFormat="false" ht="15" hidden="false" customHeight="false" outlineLevel="0" collapsed="false">
      <c r="A1254" s="34" t="n">
        <v>46284</v>
      </c>
      <c r="B1254" s="28" t="s">
        <v>132</v>
      </c>
      <c r="C1254" s="35" t="n">
        <v>45579</v>
      </c>
      <c r="D1254" s="35" t="n">
        <v>568</v>
      </c>
      <c r="E1254" s="35" t="n">
        <v>89</v>
      </c>
      <c r="F1254" s="35" t="n">
        <v>10</v>
      </c>
      <c r="G1254" s="35" t="n">
        <v>31630</v>
      </c>
      <c r="H1254" s="35" t="n">
        <v>10430</v>
      </c>
      <c r="I1254" s="28" t="str">
        <f aca="false">INDEX(Campaigns!$C$2:$C$31,MATCH(B1254,Campaigns!$A$2:$A$31,0))</f>
        <v>Facebook &amp; Instagram Ads</v>
      </c>
      <c r="J1254" s="40" t="n">
        <f aca="false">DATE(YEAR(A1254),MONTH(A1254),1)</f>
        <v>46266</v>
      </c>
    </row>
    <row r="1255" customFormat="false" ht="15" hidden="false" customHeight="false" outlineLevel="0" collapsed="false">
      <c r="A1255" s="34" t="n">
        <v>46284</v>
      </c>
      <c r="B1255" s="28" t="s">
        <v>138</v>
      </c>
      <c r="C1255" s="35" t="n">
        <v>3773</v>
      </c>
      <c r="D1255" s="35" t="n">
        <v>177</v>
      </c>
      <c r="E1255" s="35" t="n">
        <v>14</v>
      </c>
      <c r="F1255" s="35" t="n">
        <v>3</v>
      </c>
      <c r="G1255" s="35" t="n">
        <v>9390</v>
      </c>
      <c r="H1255" s="35" t="n">
        <v>5656</v>
      </c>
      <c r="I1255" s="28" t="str">
        <f aca="false">INDEX(Campaigns!$C$2:$C$31,MATCH(B1255,Campaigns!$A$2:$A$31,0))</f>
        <v>WhatsApp Broadcast</v>
      </c>
      <c r="J1255" s="40" t="n">
        <f aca="false">DATE(YEAR(A1255),MONTH(A1255),1)</f>
        <v>46266</v>
      </c>
    </row>
    <row r="1256" customFormat="false" ht="15" hidden="false" customHeight="false" outlineLevel="0" collapsed="false">
      <c r="A1256" s="34" t="n">
        <v>46284</v>
      </c>
      <c r="B1256" s="28" t="s">
        <v>139</v>
      </c>
      <c r="C1256" s="35" t="n">
        <v>19332</v>
      </c>
      <c r="D1256" s="35" t="n">
        <v>202</v>
      </c>
      <c r="E1256" s="35" t="n">
        <v>8</v>
      </c>
      <c r="F1256" s="35" t="n">
        <v>2</v>
      </c>
      <c r="G1256" s="35" t="n">
        <v>4960</v>
      </c>
      <c r="H1256" s="35" t="n">
        <v>3245</v>
      </c>
      <c r="I1256" s="28" t="str">
        <f aca="false">INDEX(Campaigns!$C$2:$C$31,MATCH(B1256,Campaigns!$A$2:$A$31,0))</f>
        <v>TikTok Ads</v>
      </c>
      <c r="J1256" s="40" t="n">
        <f aca="false">DATE(YEAR(A1256),MONTH(A1256),1)</f>
        <v>46266</v>
      </c>
    </row>
    <row r="1257" customFormat="false" ht="15" hidden="false" customHeight="false" outlineLevel="0" collapsed="false">
      <c r="A1257" s="34" t="n">
        <v>46284</v>
      </c>
      <c r="B1257" s="28" t="s">
        <v>147</v>
      </c>
      <c r="C1257" s="35" t="n">
        <v>25868</v>
      </c>
      <c r="D1257" s="35" t="n">
        <v>334</v>
      </c>
      <c r="E1257" s="35" t="n">
        <v>5</v>
      </c>
      <c r="F1257" s="35" t="n">
        <v>1</v>
      </c>
      <c r="G1257" s="35" t="n">
        <v>2990</v>
      </c>
      <c r="H1257" s="35" t="n">
        <v>6131</v>
      </c>
      <c r="I1257" s="28" t="str">
        <f aca="false">INDEX(Campaigns!$C$2:$C$31,MATCH(B1257,Campaigns!$A$2:$A$31,0))</f>
        <v>Facebook &amp; Instagram Ads</v>
      </c>
      <c r="J1257" s="40" t="n">
        <f aca="false">DATE(YEAR(A1257),MONTH(A1257),1)</f>
        <v>46266</v>
      </c>
    </row>
    <row r="1258" customFormat="false" ht="15" hidden="false" customHeight="false" outlineLevel="0" collapsed="false">
      <c r="A1258" s="34" t="n">
        <v>46284</v>
      </c>
      <c r="B1258" s="28" t="s">
        <v>152</v>
      </c>
      <c r="C1258" s="35" t="n">
        <v>8260</v>
      </c>
      <c r="D1258" s="35" t="n">
        <v>69</v>
      </c>
      <c r="E1258" s="35" t="n">
        <v>0</v>
      </c>
      <c r="F1258" s="35" t="n">
        <v>1</v>
      </c>
      <c r="G1258" s="35" t="n">
        <v>3470</v>
      </c>
      <c r="H1258" s="35" t="n">
        <v>5268</v>
      </c>
      <c r="I1258" s="28" t="str">
        <f aca="false">INDEX(Campaigns!$C$2:$C$31,MATCH(B1258,Campaigns!$A$2:$A$31,0))</f>
        <v>Influencer Partnerships</v>
      </c>
      <c r="J1258" s="40" t="n">
        <f aca="false">DATE(YEAR(A1258),MONTH(A1258),1)</f>
        <v>46266</v>
      </c>
    </row>
    <row r="1259" customFormat="false" ht="15" hidden="false" customHeight="false" outlineLevel="0" collapsed="false">
      <c r="A1259" s="34" t="n">
        <v>46284</v>
      </c>
      <c r="B1259" s="28" t="s">
        <v>158</v>
      </c>
      <c r="C1259" s="35" t="n">
        <v>17408</v>
      </c>
      <c r="D1259" s="35" t="n">
        <v>152</v>
      </c>
      <c r="E1259" s="35" t="n">
        <v>22</v>
      </c>
      <c r="F1259" s="35" t="n">
        <v>1</v>
      </c>
      <c r="G1259" s="35" t="n">
        <v>2740</v>
      </c>
      <c r="H1259" s="35" t="n">
        <v>11564</v>
      </c>
      <c r="I1259" s="28" t="str">
        <f aca="false">INDEX(Campaigns!$C$2:$C$31,MATCH(B1259,Campaigns!$A$2:$A$31,0))</f>
        <v>Influencer Partnerships</v>
      </c>
      <c r="J1259" s="40" t="n">
        <f aca="false">DATE(YEAR(A1259),MONTH(A1259),1)</f>
        <v>46266</v>
      </c>
    </row>
    <row r="1260" customFormat="false" ht="15" hidden="false" customHeight="false" outlineLevel="0" collapsed="false">
      <c r="A1260" s="34" t="n">
        <v>46284</v>
      </c>
      <c r="B1260" s="28" t="s">
        <v>161</v>
      </c>
      <c r="C1260" s="35" t="n">
        <v>47813</v>
      </c>
      <c r="D1260" s="35" t="n">
        <v>654</v>
      </c>
      <c r="E1260" s="35" t="n">
        <v>9</v>
      </c>
      <c r="F1260" s="35" t="n">
        <v>1</v>
      </c>
      <c r="G1260" s="35" t="n">
        <v>1890</v>
      </c>
      <c r="H1260" s="35" t="n">
        <v>11464</v>
      </c>
      <c r="I1260" s="28" t="str">
        <f aca="false">INDEX(Campaigns!$C$2:$C$31,MATCH(B1260,Campaigns!$A$2:$A$31,0))</f>
        <v>Facebook &amp; Instagram Ads</v>
      </c>
      <c r="J1260" s="40" t="n">
        <f aca="false">DATE(YEAR(A1260),MONTH(A1260),1)</f>
        <v>46266</v>
      </c>
    </row>
    <row r="1261" customFormat="false" ht="15" hidden="false" customHeight="false" outlineLevel="0" collapsed="false">
      <c r="A1261" s="34" t="n">
        <v>46285</v>
      </c>
      <c r="B1261" s="28" t="s">
        <v>110</v>
      </c>
      <c r="C1261" s="35" t="n">
        <v>17555</v>
      </c>
      <c r="D1261" s="35" t="n">
        <v>196</v>
      </c>
      <c r="E1261" s="35" t="n">
        <v>23</v>
      </c>
      <c r="F1261" s="35" t="n">
        <v>5</v>
      </c>
      <c r="G1261" s="35" t="n">
        <v>16080</v>
      </c>
      <c r="H1261" s="35" t="n">
        <v>10036</v>
      </c>
      <c r="I1261" s="28" t="str">
        <f aca="false">INDEX(Campaigns!$C$2:$C$31,MATCH(B1261,Campaigns!$A$2:$A$31,0))</f>
        <v>Influencer Partnerships</v>
      </c>
      <c r="J1261" s="40" t="n">
        <f aca="false">DATE(YEAR(A1261),MONTH(A1261),1)</f>
        <v>46266</v>
      </c>
    </row>
    <row r="1262" customFormat="false" ht="15" hidden="false" customHeight="false" outlineLevel="0" collapsed="false">
      <c r="A1262" s="34" t="n">
        <v>46285</v>
      </c>
      <c r="B1262" s="28" t="s">
        <v>118</v>
      </c>
      <c r="C1262" s="35" t="n">
        <v>3653</v>
      </c>
      <c r="D1262" s="35" t="n">
        <v>171</v>
      </c>
      <c r="E1262" s="35" t="n">
        <v>5</v>
      </c>
      <c r="F1262" s="35" t="n">
        <v>8</v>
      </c>
      <c r="G1262" s="35" t="n">
        <v>29500</v>
      </c>
      <c r="H1262" s="35" t="n">
        <v>3020</v>
      </c>
      <c r="I1262" s="28" t="str">
        <f aca="false">INDEX(Campaigns!$C$2:$C$31,MATCH(B1262,Campaigns!$A$2:$A$31,0))</f>
        <v>Google Search Ads</v>
      </c>
      <c r="J1262" s="40" t="n">
        <f aca="false">DATE(YEAR(A1262),MONTH(A1262),1)</f>
        <v>46266</v>
      </c>
    </row>
    <row r="1263" customFormat="false" ht="15" hidden="false" customHeight="false" outlineLevel="0" collapsed="false">
      <c r="A1263" s="34" t="n">
        <v>46285</v>
      </c>
      <c r="B1263" s="28" t="s">
        <v>132</v>
      </c>
      <c r="C1263" s="35" t="n">
        <v>39839</v>
      </c>
      <c r="D1263" s="35" t="n">
        <v>520</v>
      </c>
      <c r="E1263" s="35" t="n">
        <v>67</v>
      </c>
      <c r="F1263" s="35" t="n">
        <v>6</v>
      </c>
      <c r="G1263" s="35" t="n">
        <v>18560</v>
      </c>
      <c r="H1263" s="35" t="n">
        <v>9427</v>
      </c>
      <c r="I1263" s="28" t="str">
        <f aca="false">INDEX(Campaigns!$C$2:$C$31,MATCH(B1263,Campaigns!$A$2:$A$31,0))</f>
        <v>Facebook &amp; Instagram Ads</v>
      </c>
      <c r="J1263" s="40" t="n">
        <f aca="false">DATE(YEAR(A1263),MONTH(A1263),1)</f>
        <v>46266</v>
      </c>
    </row>
    <row r="1264" customFormat="false" ht="15" hidden="false" customHeight="false" outlineLevel="0" collapsed="false">
      <c r="A1264" s="34" t="n">
        <v>46285</v>
      </c>
      <c r="B1264" s="28" t="s">
        <v>139</v>
      </c>
      <c r="C1264" s="35" t="n">
        <v>20391</v>
      </c>
      <c r="D1264" s="35" t="n">
        <v>194</v>
      </c>
      <c r="E1264" s="35" t="n">
        <v>7</v>
      </c>
      <c r="F1264" s="35" t="n">
        <v>1</v>
      </c>
      <c r="G1264" s="35" t="n">
        <v>2090</v>
      </c>
      <c r="H1264" s="35" t="n">
        <v>3343</v>
      </c>
      <c r="I1264" s="28" t="str">
        <f aca="false">INDEX(Campaigns!$C$2:$C$31,MATCH(B1264,Campaigns!$A$2:$A$31,0))</f>
        <v>TikTok Ads</v>
      </c>
      <c r="J1264" s="40" t="n">
        <f aca="false">DATE(YEAR(A1264),MONTH(A1264),1)</f>
        <v>46266</v>
      </c>
    </row>
    <row r="1265" customFormat="false" ht="15" hidden="false" customHeight="false" outlineLevel="0" collapsed="false">
      <c r="A1265" s="34" t="n">
        <v>46285</v>
      </c>
      <c r="B1265" s="28" t="s">
        <v>143</v>
      </c>
      <c r="C1265" s="35" t="n">
        <v>25179</v>
      </c>
      <c r="D1265" s="35" t="n">
        <v>1296</v>
      </c>
      <c r="E1265" s="35" t="n">
        <v>54</v>
      </c>
      <c r="F1265" s="35" t="n">
        <v>67</v>
      </c>
      <c r="G1265" s="35" t="n">
        <v>249440</v>
      </c>
      <c r="H1265" s="35" t="n">
        <v>25035</v>
      </c>
      <c r="I1265" s="28" t="str">
        <f aca="false">INDEX(Campaigns!$C$2:$C$31,MATCH(B1265,Campaigns!$A$2:$A$31,0))</f>
        <v>Google Search Ads</v>
      </c>
      <c r="J1265" s="40" t="n">
        <f aca="false">DATE(YEAR(A1265),MONTH(A1265),1)</f>
        <v>46266</v>
      </c>
    </row>
    <row r="1266" customFormat="false" ht="15" hidden="false" customHeight="false" outlineLevel="0" collapsed="false">
      <c r="A1266" s="34" t="n">
        <v>46285</v>
      </c>
      <c r="B1266" s="28" t="s">
        <v>147</v>
      </c>
      <c r="C1266" s="35" t="n">
        <v>26701</v>
      </c>
      <c r="D1266" s="35" t="n">
        <v>341</v>
      </c>
      <c r="E1266" s="35" t="n">
        <v>10</v>
      </c>
      <c r="F1266" s="35" t="n">
        <v>0</v>
      </c>
      <c r="G1266" s="35" t="n">
        <v>0</v>
      </c>
      <c r="H1266" s="35" t="n">
        <v>6345</v>
      </c>
      <c r="I1266" s="28" t="str">
        <f aca="false">INDEX(Campaigns!$C$2:$C$31,MATCH(B1266,Campaigns!$A$2:$A$31,0))</f>
        <v>Facebook &amp; Instagram Ads</v>
      </c>
      <c r="J1266" s="40" t="n">
        <f aca="false">DATE(YEAR(A1266),MONTH(A1266),1)</f>
        <v>46266</v>
      </c>
    </row>
    <row r="1267" customFormat="false" ht="15" hidden="false" customHeight="false" outlineLevel="0" collapsed="false">
      <c r="A1267" s="34" t="n">
        <v>46285</v>
      </c>
      <c r="B1267" s="28" t="s">
        <v>152</v>
      </c>
      <c r="C1267" s="35" t="n">
        <v>7059</v>
      </c>
      <c r="D1267" s="35" t="n">
        <v>63</v>
      </c>
      <c r="E1267" s="35" t="n">
        <v>0</v>
      </c>
      <c r="F1267" s="35" t="n">
        <v>4</v>
      </c>
      <c r="G1267" s="35" t="n">
        <v>14770</v>
      </c>
      <c r="H1267" s="35" t="n">
        <v>4165</v>
      </c>
      <c r="I1267" s="28" t="str">
        <f aca="false">INDEX(Campaigns!$C$2:$C$31,MATCH(B1267,Campaigns!$A$2:$A$31,0))</f>
        <v>Influencer Partnerships</v>
      </c>
      <c r="J1267" s="40" t="n">
        <f aca="false">DATE(YEAR(A1267),MONTH(A1267),1)</f>
        <v>46266</v>
      </c>
    </row>
    <row r="1268" customFormat="false" ht="15" hidden="false" customHeight="false" outlineLevel="0" collapsed="false">
      <c r="A1268" s="34" t="n">
        <v>46285</v>
      </c>
      <c r="B1268" s="28" t="s">
        <v>158</v>
      </c>
      <c r="C1268" s="35" t="n">
        <v>22146</v>
      </c>
      <c r="D1268" s="35" t="n">
        <v>215</v>
      </c>
      <c r="E1268" s="35" t="n">
        <v>27</v>
      </c>
      <c r="F1268" s="35" t="n">
        <v>0</v>
      </c>
      <c r="G1268" s="35" t="n">
        <v>0</v>
      </c>
      <c r="H1268" s="35" t="n">
        <v>12123</v>
      </c>
      <c r="I1268" s="28" t="str">
        <f aca="false">INDEX(Campaigns!$C$2:$C$31,MATCH(B1268,Campaigns!$A$2:$A$31,0))</f>
        <v>Influencer Partnerships</v>
      </c>
      <c r="J1268" s="40" t="n">
        <f aca="false">DATE(YEAR(A1268),MONTH(A1268),1)</f>
        <v>46266</v>
      </c>
    </row>
    <row r="1269" customFormat="false" ht="15" hidden="false" customHeight="false" outlineLevel="0" collapsed="false">
      <c r="A1269" s="34" t="n">
        <v>46285</v>
      </c>
      <c r="B1269" s="28" t="s">
        <v>161</v>
      </c>
      <c r="C1269" s="35" t="n">
        <v>49994</v>
      </c>
      <c r="D1269" s="35" t="n">
        <v>674</v>
      </c>
      <c r="E1269" s="35" t="n">
        <v>8</v>
      </c>
      <c r="F1269" s="35" t="n">
        <v>1</v>
      </c>
      <c r="G1269" s="35" t="n">
        <v>2220</v>
      </c>
      <c r="H1269" s="35" t="n">
        <v>11387</v>
      </c>
      <c r="I1269" s="28" t="str">
        <f aca="false">INDEX(Campaigns!$C$2:$C$31,MATCH(B1269,Campaigns!$A$2:$A$31,0))</f>
        <v>Facebook &amp; Instagram Ads</v>
      </c>
      <c r="J1269" s="40" t="n">
        <f aca="false">DATE(YEAR(A1269),MONTH(A1269),1)</f>
        <v>46266</v>
      </c>
    </row>
    <row r="1270" customFormat="false" ht="15" hidden="false" customHeight="false" outlineLevel="0" collapsed="false">
      <c r="A1270" s="34" t="n">
        <v>46286</v>
      </c>
      <c r="B1270" s="28" t="s">
        <v>110</v>
      </c>
      <c r="C1270" s="35" t="n">
        <v>15702</v>
      </c>
      <c r="D1270" s="35" t="n">
        <v>164</v>
      </c>
      <c r="E1270" s="35" t="n">
        <v>13</v>
      </c>
      <c r="F1270" s="35" t="n">
        <v>2</v>
      </c>
      <c r="G1270" s="35" t="n">
        <v>7410</v>
      </c>
      <c r="H1270" s="35" t="n">
        <v>9434</v>
      </c>
      <c r="I1270" s="28" t="str">
        <f aca="false">INDEX(Campaigns!$C$2:$C$31,MATCH(B1270,Campaigns!$A$2:$A$31,0))</f>
        <v>Influencer Partnerships</v>
      </c>
      <c r="J1270" s="40" t="n">
        <f aca="false">DATE(YEAR(A1270),MONTH(A1270),1)</f>
        <v>46266</v>
      </c>
    </row>
    <row r="1271" customFormat="false" ht="15" hidden="false" customHeight="false" outlineLevel="0" collapsed="false">
      <c r="A1271" s="34" t="n">
        <v>46286</v>
      </c>
      <c r="B1271" s="28" t="s">
        <v>118</v>
      </c>
      <c r="C1271" s="35" t="n">
        <v>2696</v>
      </c>
      <c r="D1271" s="35" t="n">
        <v>152</v>
      </c>
      <c r="E1271" s="35" t="n">
        <v>1</v>
      </c>
      <c r="F1271" s="35" t="n">
        <v>7</v>
      </c>
      <c r="G1271" s="35" t="n">
        <v>24020</v>
      </c>
      <c r="H1271" s="35" t="n">
        <v>2624</v>
      </c>
      <c r="I1271" s="28" t="str">
        <f aca="false">INDEX(Campaigns!$C$2:$C$31,MATCH(B1271,Campaigns!$A$2:$A$31,0))</f>
        <v>Google Search Ads</v>
      </c>
      <c r="J1271" s="40" t="n">
        <f aca="false">DATE(YEAR(A1271),MONTH(A1271),1)</f>
        <v>46266</v>
      </c>
    </row>
    <row r="1272" customFormat="false" ht="15" hidden="false" customHeight="false" outlineLevel="0" collapsed="false">
      <c r="A1272" s="34" t="n">
        <v>46286</v>
      </c>
      <c r="B1272" s="28" t="s">
        <v>132</v>
      </c>
      <c r="C1272" s="35" t="n">
        <v>34234</v>
      </c>
      <c r="D1272" s="35" t="n">
        <v>433</v>
      </c>
      <c r="E1272" s="35" t="n">
        <v>55</v>
      </c>
      <c r="F1272" s="35" t="n">
        <v>10</v>
      </c>
      <c r="G1272" s="35" t="n">
        <v>30630</v>
      </c>
      <c r="H1272" s="35" t="n">
        <v>8225</v>
      </c>
      <c r="I1272" s="28" t="str">
        <f aca="false">INDEX(Campaigns!$C$2:$C$31,MATCH(B1272,Campaigns!$A$2:$A$31,0))</f>
        <v>Facebook &amp; Instagram Ads</v>
      </c>
      <c r="J1272" s="40" t="n">
        <f aca="false">DATE(YEAR(A1272),MONTH(A1272),1)</f>
        <v>46266</v>
      </c>
    </row>
    <row r="1273" customFormat="false" ht="15" hidden="false" customHeight="false" outlineLevel="0" collapsed="false">
      <c r="A1273" s="34" t="n">
        <v>46286</v>
      </c>
      <c r="B1273" s="28" t="s">
        <v>139</v>
      </c>
      <c r="C1273" s="35" t="n">
        <v>15464</v>
      </c>
      <c r="D1273" s="35" t="n">
        <v>147</v>
      </c>
      <c r="E1273" s="35" t="n">
        <v>8</v>
      </c>
      <c r="F1273" s="35" t="n">
        <v>0</v>
      </c>
      <c r="G1273" s="35" t="n">
        <v>0</v>
      </c>
      <c r="H1273" s="35" t="n">
        <v>2543</v>
      </c>
      <c r="I1273" s="28" t="str">
        <f aca="false">INDEX(Campaigns!$C$2:$C$31,MATCH(B1273,Campaigns!$A$2:$A$31,0))</f>
        <v>TikTok Ads</v>
      </c>
      <c r="J1273" s="40" t="n">
        <f aca="false">DATE(YEAR(A1273),MONTH(A1273),1)</f>
        <v>46266</v>
      </c>
    </row>
    <row r="1274" customFormat="false" ht="15" hidden="false" customHeight="false" outlineLevel="0" collapsed="false">
      <c r="A1274" s="34" t="n">
        <v>46286</v>
      </c>
      <c r="B1274" s="28" t="s">
        <v>143</v>
      </c>
      <c r="C1274" s="35" t="n">
        <v>21445</v>
      </c>
      <c r="D1274" s="35" t="n">
        <v>1200</v>
      </c>
      <c r="E1274" s="35" t="n">
        <v>46</v>
      </c>
      <c r="F1274" s="35" t="n">
        <v>74</v>
      </c>
      <c r="G1274" s="35" t="n">
        <v>270210</v>
      </c>
      <c r="H1274" s="35" t="n">
        <v>20469</v>
      </c>
      <c r="I1274" s="28" t="str">
        <f aca="false">INDEX(Campaigns!$C$2:$C$31,MATCH(B1274,Campaigns!$A$2:$A$31,0))</f>
        <v>Google Search Ads</v>
      </c>
      <c r="J1274" s="40" t="n">
        <f aca="false">DATE(YEAR(A1274),MONTH(A1274),1)</f>
        <v>46266</v>
      </c>
    </row>
    <row r="1275" customFormat="false" ht="15" hidden="false" customHeight="false" outlineLevel="0" collapsed="false">
      <c r="A1275" s="34" t="n">
        <v>46286</v>
      </c>
      <c r="B1275" s="28" t="s">
        <v>147</v>
      </c>
      <c r="C1275" s="35" t="n">
        <v>27660</v>
      </c>
      <c r="D1275" s="35" t="n">
        <v>373</v>
      </c>
      <c r="E1275" s="35" t="n">
        <v>10</v>
      </c>
      <c r="F1275" s="35" t="n">
        <v>0</v>
      </c>
      <c r="G1275" s="35" t="n">
        <v>0</v>
      </c>
      <c r="H1275" s="35" t="n">
        <v>6577</v>
      </c>
      <c r="I1275" s="28" t="str">
        <f aca="false">INDEX(Campaigns!$C$2:$C$31,MATCH(B1275,Campaigns!$A$2:$A$31,0))</f>
        <v>Facebook &amp; Instagram Ads</v>
      </c>
      <c r="J1275" s="40" t="n">
        <f aca="false">DATE(YEAR(A1275),MONTH(A1275),1)</f>
        <v>46266</v>
      </c>
    </row>
    <row r="1276" customFormat="false" ht="15" hidden="false" customHeight="false" outlineLevel="0" collapsed="false">
      <c r="A1276" s="34" t="n">
        <v>46286</v>
      </c>
      <c r="B1276" s="28" t="s">
        <v>152</v>
      </c>
      <c r="C1276" s="35" t="n">
        <v>6946</v>
      </c>
      <c r="D1276" s="35" t="n">
        <v>60</v>
      </c>
      <c r="E1276" s="35" t="n">
        <v>1</v>
      </c>
      <c r="F1276" s="35" t="n">
        <v>0</v>
      </c>
      <c r="G1276" s="35" t="n">
        <v>0</v>
      </c>
      <c r="H1276" s="35" t="n">
        <v>4460</v>
      </c>
      <c r="I1276" s="28" t="str">
        <f aca="false">INDEX(Campaigns!$C$2:$C$31,MATCH(B1276,Campaigns!$A$2:$A$31,0))</f>
        <v>Influencer Partnerships</v>
      </c>
      <c r="J1276" s="40" t="n">
        <f aca="false">DATE(YEAR(A1276),MONTH(A1276),1)</f>
        <v>46266</v>
      </c>
    </row>
    <row r="1277" customFormat="false" ht="15" hidden="false" customHeight="false" outlineLevel="0" collapsed="false">
      <c r="A1277" s="34" t="n">
        <v>46286</v>
      </c>
      <c r="B1277" s="28" t="s">
        <v>158</v>
      </c>
      <c r="C1277" s="35" t="n">
        <v>19788</v>
      </c>
      <c r="D1277" s="35" t="n">
        <v>197</v>
      </c>
      <c r="E1277" s="35" t="n">
        <v>25</v>
      </c>
      <c r="F1277" s="35" t="n">
        <v>1</v>
      </c>
      <c r="G1277" s="35" t="n">
        <v>3060</v>
      </c>
      <c r="H1277" s="35" t="n">
        <v>11452</v>
      </c>
      <c r="I1277" s="28" t="str">
        <f aca="false">INDEX(Campaigns!$C$2:$C$31,MATCH(B1277,Campaigns!$A$2:$A$31,0))</f>
        <v>Influencer Partnerships</v>
      </c>
      <c r="J1277" s="40" t="n">
        <f aca="false">DATE(YEAR(A1277),MONTH(A1277),1)</f>
        <v>46266</v>
      </c>
    </row>
    <row r="1278" customFormat="false" ht="15" hidden="false" customHeight="false" outlineLevel="0" collapsed="false">
      <c r="A1278" s="34" t="n">
        <v>46286</v>
      </c>
      <c r="B1278" s="28" t="s">
        <v>161</v>
      </c>
      <c r="C1278" s="35" t="n">
        <v>39568</v>
      </c>
      <c r="D1278" s="35" t="n">
        <v>488</v>
      </c>
      <c r="E1278" s="35" t="n">
        <v>16</v>
      </c>
      <c r="F1278" s="35" t="n">
        <v>3</v>
      </c>
      <c r="G1278" s="35" t="n">
        <v>11040</v>
      </c>
      <c r="H1278" s="35" t="n">
        <v>9589</v>
      </c>
      <c r="I1278" s="28" t="str">
        <f aca="false">INDEX(Campaigns!$C$2:$C$31,MATCH(B1278,Campaigns!$A$2:$A$31,0))</f>
        <v>Facebook &amp; Instagram Ads</v>
      </c>
      <c r="J1278" s="40" t="n">
        <f aca="false">DATE(YEAR(A1278),MONTH(A1278),1)</f>
        <v>46266</v>
      </c>
    </row>
    <row r="1279" customFormat="false" ht="15" hidden="false" customHeight="false" outlineLevel="0" collapsed="false">
      <c r="A1279" s="34" t="n">
        <v>46287</v>
      </c>
      <c r="B1279" s="28" t="s">
        <v>118</v>
      </c>
      <c r="C1279" s="35" t="n">
        <v>2605</v>
      </c>
      <c r="D1279" s="35" t="n">
        <v>111</v>
      </c>
      <c r="E1279" s="35" t="n">
        <v>3</v>
      </c>
      <c r="F1279" s="35" t="n">
        <v>2</v>
      </c>
      <c r="G1279" s="35" t="n">
        <v>6830</v>
      </c>
      <c r="H1279" s="35" t="n">
        <v>2591</v>
      </c>
      <c r="I1279" s="28" t="str">
        <f aca="false">INDEX(Campaigns!$C$2:$C$31,MATCH(B1279,Campaigns!$A$2:$A$31,0))</f>
        <v>Google Search Ads</v>
      </c>
      <c r="J1279" s="40" t="n">
        <f aca="false">DATE(YEAR(A1279),MONTH(A1279),1)</f>
        <v>46266</v>
      </c>
    </row>
    <row r="1280" customFormat="false" ht="15" hidden="false" customHeight="false" outlineLevel="0" collapsed="false">
      <c r="A1280" s="34" t="n">
        <v>46287</v>
      </c>
      <c r="B1280" s="28" t="s">
        <v>132</v>
      </c>
      <c r="C1280" s="35" t="n">
        <v>32593</v>
      </c>
      <c r="D1280" s="35" t="n">
        <v>430</v>
      </c>
      <c r="E1280" s="35" t="n">
        <v>75</v>
      </c>
      <c r="F1280" s="35" t="n">
        <v>8</v>
      </c>
      <c r="G1280" s="35" t="n">
        <v>26680</v>
      </c>
      <c r="H1280" s="35" t="n">
        <v>8586</v>
      </c>
      <c r="I1280" s="28" t="str">
        <f aca="false">INDEX(Campaigns!$C$2:$C$31,MATCH(B1280,Campaigns!$A$2:$A$31,0))</f>
        <v>Facebook &amp; Instagram Ads</v>
      </c>
      <c r="J1280" s="40" t="n">
        <f aca="false">DATE(YEAR(A1280),MONTH(A1280),1)</f>
        <v>46266</v>
      </c>
    </row>
    <row r="1281" customFormat="false" ht="15" hidden="false" customHeight="false" outlineLevel="0" collapsed="false">
      <c r="A1281" s="34" t="n">
        <v>46287</v>
      </c>
      <c r="B1281" s="28" t="s">
        <v>139</v>
      </c>
      <c r="C1281" s="35" t="n">
        <v>16193</v>
      </c>
      <c r="D1281" s="35" t="n">
        <v>156</v>
      </c>
      <c r="E1281" s="35" t="n">
        <v>7</v>
      </c>
      <c r="F1281" s="35" t="n">
        <v>0</v>
      </c>
      <c r="G1281" s="35" t="n">
        <v>0</v>
      </c>
      <c r="H1281" s="35" t="n">
        <v>2990</v>
      </c>
      <c r="I1281" s="28" t="str">
        <f aca="false">INDEX(Campaigns!$C$2:$C$31,MATCH(B1281,Campaigns!$A$2:$A$31,0))</f>
        <v>TikTok Ads</v>
      </c>
      <c r="J1281" s="40" t="n">
        <f aca="false">DATE(YEAR(A1281),MONTH(A1281),1)</f>
        <v>46266</v>
      </c>
    </row>
    <row r="1282" customFormat="false" ht="15" hidden="false" customHeight="false" outlineLevel="0" collapsed="false">
      <c r="A1282" s="34" t="n">
        <v>46287</v>
      </c>
      <c r="B1282" s="28" t="s">
        <v>143</v>
      </c>
      <c r="C1282" s="35" t="n">
        <v>23823</v>
      </c>
      <c r="D1282" s="35" t="n">
        <v>1123</v>
      </c>
      <c r="E1282" s="35" t="n">
        <v>36</v>
      </c>
      <c r="F1282" s="35" t="n">
        <v>57</v>
      </c>
      <c r="G1282" s="35" t="n">
        <v>201910</v>
      </c>
      <c r="H1282" s="35" t="n">
        <v>20596</v>
      </c>
      <c r="I1282" s="28" t="str">
        <f aca="false">INDEX(Campaigns!$C$2:$C$31,MATCH(B1282,Campaigns!$A$2:$A$31,0))</f>
        <v>Google Search Ads</v>
      </c>
      <c r="J1282" s="40" t="n">
        <f aca="false">DATE(YEAR(A1282),MONTH(A1282),1)</f>
        <v>46266</v>
      </c>
    </row>
    <row r="1283" customFormat="false" ht="15" hidden="false" customHeight="false" outlineLevel="0" collapsed="false">
      <c r="A1283" s="34" t="n">
        <v>46287</v>
      </c>
      <c r="B1283" s="28" t="s">
        <v>147</v>
      </c>
      <c r="C1283" s="35" t="n">
        <v>22590</v>
      </c>
      <c r="D1283" s="35" t="n">
        <v>290</v>
      </c>
      <c r="E1283" s="35" t="n">
        <v>8</v>
      </c>
      <c r="F1283" s="35" t="n">
        <v>0</v>
      </c>
      <c r="G1283" s="35" t="n">
        <v>0</v>
      </c>
      <c r="H1283" s="35" t="n">
        <v>5245</v>
      </c>
      <c r="I1283" s="28" t="str">
        <f aca="false">INDEX(Campaigns!$C$2:$C$31,MATCH(B1283,Campaigns!$A$2:$A$31,0))</f>
        <v>Facebook &amp; Instagram Ads</v>
      </c>
      <c r="J1283" s="40" t="n">
        <f aca="false">DATE(YEAR(A1283),MONTH(A1283),1)</f>
        <v>46266</v>
      </c>
    </row>
    <row r="1284" customFormat="false" ht="15" hidden="false" customHeight="false" outlineLevel="0" collapsed="false">
      <c r="A1284" s="34" t="n">
        <v>46287</v>
      </c>
      <c r="B1284" s="28" t="s">
        <v>152</v>
      </c>
      <c r="C1284" s="35" t="n">
        <v>8269</v>
      </c>
      <c r="D1284" s="35" t="n">
        <v>71</v>
      </c>
      <c r="E1284" s="35" t="n">
        <v>5</v>
      </c>
      <c r="F1284" s="35" t="n">
        <v>2</v>
      </c>
      <c r="G1284" s="35" t="n">
        <v>4970</v>
      </c>
      <c r="H1284" s="35" t="n">
        <v>4678</v>
      </c>
      <c r="I1284" s="28" t="str">
        <f aca="false">INDEX(Campaigns!$C$2:$C$31,MATCH(B1284,Campaigns!$A$2:$A$31,0))</f>
        <v>Influencer Partnerships</v>
      </c>
      <c r="J1284" s="40" t="n">
        <f aca="false">DATE(YEAR(A1284),MONTH(A1284),1)</f>
        <v>46266</v>
      </c>
    </row>
    <row r="1285" customFormat="false" ht="15" hidden="false" customHeight="false" outlineLevel="0" collapsed="false">
      <c r="A1285" s="34" t="n">
        <v>46287</v>
      </c>
      <c r="B1285" s="28" t="s">
        <v>158</v>
      </c>
      <c r="C1285" s="35" t="n">
        <v>18219</v>
      </c>
      <c r="D1285" s="35" t="n">
        <v>180</v>
      </c>
      <c r="E1285" s="35" t="n">
        <v>32</v>
      </c>
      <c r="F1285" s="35" t="n">
        <v>2</v>
      </c>
      <c r="G1285" s="35" t="n">
        <v>6110</v>
      </c>
      <c r="H1285" s="35" t="n">
        <v>10382</v>
      </c>
      <c r="I1285" s="28" t="str">
        <f aca="false">INDEX(Campaigns!$C$2:$C$31,MATCH(B1285,Campaigns!$A$2:$A$31,0))</f>
        <v>Influencer Partnerships</v>
      </c>
      <c r="J1285" s="40" t="n">
        <f aca="false">DATE(YEAR(A1285),MONTH(A1285),1)</f>
        <v>46266</v>
      </c>
    </row>
    <row r="1286" customFormat="false" ht="15" hidden="false" customHeight="false" outlineLevel="0" collapsed="false">
      <c r="A1286" s="34" t="n">
        <v>46287</v>
      </c>
      <c r="B1286" s="28" t="s">
        <v>161</v>
      </c>
      <c r="C1286" s="35" t="n">
        <v>44178</v>
      </c>
      <c r="D1286" s="35" t="n">
        <v>593</v>
      </c>
      <c r="E1286" s="35" t="n">
        <v>14</v>
      </c>
      <c r="F1286" s="35" t="n">
        <v>0</v>
      </c>
      <c r="G1286" s="35" t="n">
        <v>0</v>
      </c>
      <c r="H1286" s="35" t="n">
        <v>11272</v>
      </c>
      <c r="I1286" s="28" t="str">
        <f aca="false">INDEX(Campaigns!$C$2:$C$31,MATCH(B1286,Campaigns!$A$2:$A$31,0))</f>
        <v>Facebook &amp; Instagram Ads</v>
      </c>
      <c r="J1286" s="40" t="n">
        <f aca="false">DATE(YEAR(A1286),MONTH(A1286),1)</f>
        <v>46266</v>
      </c>
    </row>
    <row r="1287" customFormat="false" ht="15" hidden="false" customHeight="false" outlineLevel="0" collapsed="false">
      <c r="A1287" s="34" t="n">
        <v>46288</v>
      </c>
      <c r="B1287" s="28" t="s">
        <v>118</v>
      </c>
      <c r="C1287" s="35" t="n">
        <v>2502</v>
      </c>
      <c r="D1287" s="35" t="n">
        <v>110</v>
      </c>
      <c r="E1287" s="35" t="n">
        <v>1</v>
      </c>
      <c r="F1287" s="35" t="n">
        <v>8</v>
      </c>
      <c r="G1287" s="35" t="n">
        <v>27820</v>
      </c>
      <c r="H1287" s="35" t="n">
        <v>2396</v>
      </c>
      <c r="I1287" s="28" t="str">
        <f aca="false">INDEX(Campaigns!$C$2:$C$31,MATCH(B1287,Campaigns!$A$2:$A$31,0))</f>
        <v>Google Search Ads</v>
      </c>
      <c r="J1287" s="40" t="n">
        <f aca="false">DATE(YEAR(A1287),MONTH(A1287),1)</f>
        <v>46266</v>
      </c>
    </row>
    <row r="1288" customFormat="false" ht="15" hidden="false" customHeight="false" outlineLevel="0" collapsed="false">
      <c r="A1288" s="34" t="n">
        <v>46288</v>
      </c>
      <c r="B1288" s="28" t="s">
        <v>132</v>
      </c>
      <c r="C1288" s="35" t="n">
        <v>37275</v>
      </c>
      <c r="D1288" s="35" t="n">
        <v>508</v>
      </c>
      <c r="E1288" s="35" t="n">
        <v>70</v>
      </c>
      <c r="F1288" s="35" t="n">
        <v>4</v>
      </c>
      <c r="G1288" s="35" t="n">
        <v>14820</v>
      </c>
      <c r="H1288" s="35" t="n">
        <v>9420</v>
      </c>
      <c r="I1288" s="28" t="str">
        <f aca="false">INDEX(Campaigns!$C$2:$C$31,MATCH(B1288,Campaigns!$A$2:$A$31,0))</f>
        <v>Facebook &amp; Instagram Ads</v>
      </c>
      <c r="J1288" s="40" t="n">
        <f aca="false">DATE(YEAR(A1288),MONTH(A1288),1)</f>
        <v>46266</v>
      </c>
    </row>
    <row r="1289" customFormat="false" ht="15" hidden="false" customHeight="false" outlineLevel="0" collapsed="false">
      <c r="A1289" s="34" t="n">
        <v>46288</v>
      </c>
      <c r="B1289" s="28" t="s">
        <v>139</v>
      </c>
      <c r="C1289" s="35" t="n">
        <v>14002</v>
      </c>
      <c r="D1289" s="35" t="n">
        <v>138</v>
      </c>
      <c r="E1289" s="35" t="n">
        <v>8</v>
      </c>
      <c r="F1289" s="35" t="n">
        <v>3</v>
      </c>
      <c r="G1289" s="35" t="n">
        <v>8720</v>
      </c>
      <c r="H1289" s="35" t="n">
        <v>2755</v>
      </c>
      <c r="I1289" s="28" t="str">
        <f aca="false">INDEX(Campaigns!$C$2:$C$31,MATCH(B1289,Campaigns!$A$2:$A$31,0))</f>
        <v>TikTok Ads</v>
      </c>
      <c r="J1289" s="40" t="n">
        <f aca="false">DATE(YEAR(A1289),MONTH(A1289),1)</f>
        <v>46266</v>
      </c>
    </row>
    <row r="1290" customFormat="false" ht="15" hidden="false" customHeight="false" outlineLevel="0" collapsed="false">
      <c r="A1290" s="34" t="n">
        <v>46288</v>
      </c>
      <c r="B1290" s="28" t="s">
        <v>143</v>
      </c>
      <c r="C1290" s="35" t="n">
        <v>26175</v>
      </c>
      <c r="D1290" s="35" t="n">
        <v>1326</v>
      </c>
      <c r="E1290" s="35" t="n">
        <v>60</v>
      </c>
      <c r="F1290" s="35" t="n">
        <v>52</v>
      </c>
      <c r="G1290" s="35" t="n">
        <v>200630</v>
      </c>
      <c r="H1290" s="35" t="n">
        <v>22910</v>
      </c>
      <c r="I1290" s="28" t="str">
        <f aca="false">INDEX(Campaigns!$C$2:$C$31,MATCH(B1290,Campaigns!$A$2:$A$31,0))</f>
        <v>Google Search Ads</v>
      </c>
      <c r="J1290" s="40" t="n">
        <f aca="false">DATE(YEAR(A1290),MONTH(A1290),1)</f>
        <v>46266</v>
      </c>
    </row>
    <row r="1291" customFormat="false" ht="15" hidden="false" customHeight="false" outlineLevel="0" collapsed="false">
      <c r="A1291" s="34" t="n">
        <v>46288</v>
      </c>
      <c r="B1291" s="28" t="s">
        <v>147</v>
      </c>
      <c r="C1291" s="35" t="n">
        <v>25672</v>
      </c>
      <c r="D1291" s="35" t="n">
        <v>315</v>
      </c>
      <c r="E1291" s="35" t="n">
        <v>5</v>
      </c>
      <c r="F1291" s="35" t="n">
        <v>1</v>
      </c>
      <c r="G1291" s="35" t="n">
        <v>3580</v>
      </c>
      <c r="H1291" s="35" t="n">
        <v>5844</v>
      </c>
      <c r="I1291" s="28" t="str">
        <f aca="false">INDEX(Campaigns!$C$2:$C$31,MATCH(B1291,Campaigns!$A$2:$A$31,0))</f>
        <v>Facebook &amp; Instagram Ads</v>
      </c>
      <c r="J1291" s="40" t="n">
        <f aca="false">DATE(YEAR(A1291),MONTH(A1291),1)</f>
        <v>46266</v>
      </c>
    </row>
    <row r="1292" customFormat="false" ht="15" hidden="false" customHeight="false" outlineLevel="0" collapsed="false">
      <c r="A1292" s="34" t="n">
        <v>46288</v>
      </c>
      <c r="B1292" s="28" t="s">
        <v>152</v>
      </c>
      <c r="C1292" s="35" t="n">
        <v>6849</v>
      </c>
      <c r="D1292" s="35" t="n">
        <v>70</v>
      </c>
      <c r="E1292" s="35" t="n">
        <v>5</v>
      </c>
      <c r="F1292" s="35" t="n">
        <v>0</v>
      </c>
      <c r="G1292" s="35" t="n">
        <v>0</v>
      </c>
      <c r="H1292" s="35" t="n">
        <v>4049</v>
      </c>
      <c r="I1292" s="28" t="str">
        <f aca="false">INDEX(Campaigns!$C$2:$C$31,MATCH(B1292,Campaigns!$A$2:$A$31,0))</f>
        <v>Influencer Partnerships</v>
      </c>
      <c r="J1292" s="40" t="n">
        <f aca="false">DATE(YEAR(A1292),MONTH(A1292),1)</f>
        <v>46266</v>
      </c>
    </row>
    <row r="1293" customFormat="false" ht="15" hidden="false" customHeight="false" outlineLevel="0" collapsed="false">
      <c r="A1293" s="34" t="n">
        <v>46288</v>
      </c>
      <c r="B1293" s="28" t="s">
        <v>158</v>
      </c>
      <c r="C1293" s="35" t="n">
        <v>18743</v>
      </c>
      <c r="D1293" s="35" t="n">
        <v>197</v>
      </c>
      <c r="E1293" s="35" t="n">
        <v>22</v>
      </c>
      <c r="F1293" s="35" t="n">
        <v>3</v>
      </c>
      <c r="G1293" s="35" t="n">
        <v>11880</v>
      </c>
      <c r="H1293" s="35" t="n">
        <v>11074</v>
      </c>
      <c r="I1293" s="28" t="str">
        <f aca="false">INDEX(Campaigns!$C$2:$C$31,MATCH(B1293,Campaigns!$A$2:$A$31,0))</f>
        <v>Influencer Partnerships</v>
      </c>
      <c r="J1293" s="40" t="n">
        <f aca="false">DATE(YEAR(A1293),MONTH(A1293),1)</f>
        <v>46266</v>
      </c>
    </row>
    <row r="1294" customFormat="false" ht="15" hidden="false" customHeight="false" outlineLevel="0" collapsed="false">
      <c r="A1294" s="34" t="n">
        <v>46288</v>
      </c>
      <c r="B1294" s="28" t="s">
        <v>161</v>
      </c>
      <c r="C1294" s="35" t="n">
        <v>39830</v>
      </c>
      <c r="D1294" s="35" t="n">
        <v>498</v>
      </c>
      <c r="E1294" s="35" t="n">
        <v>4</v>
      </c>
      <c r="F1294" s="35" t="n">
        <v>1</v>
      </c>
      <c r="G1294" s="35" t="n">
        <v>2640</v>
      </c>
      <c r="H1294" s="35" t="n">
        <v>9884</v>
      </c>
      <c r="I1294" s="28" t="str">
        <f aca="false">INDEX(Campaigns!$C$2:$C$31,MATCH(B1294,Campaigns!$A$2:$A$31,0))</f>
        <v>Facebook &amp; Instagram Ads</v>
      </c>
      <c r="J1294" s="40" t="n">
        <f aca="false">DATE(YEAR(A1294),MONTH(A1294),1)</f>
        <v>46266</v>
      </c>
    </row>
    <row r="1295" customFormat="false" ht="15" hidden="false" customHeight="false" outlineLevel="0" collapsed="false">
      <c r="A1295" s="34" t="n">
        <v>46289</v>
      </c>
      <c r="B1295" s="28" t="s">
        <v>118</v>
      </c>
      <c r="C1295" s="35" t="n">
        <v>2592</v>
      </c>
      <c r="D1295" s="35" t="n">
        <v>118</v>
      </c>
      <c r="E1295" s="35" t="n">
        <v>7</v>
      </c>
      <c r="F1295" s="35" t="n">
        <v>6</v>
      </c>
      <c r="G1295" s="35" t="n">
        <v>18970</v>
      </c>
      <c r="H1295" s="35" t="n">
        <v>2319</v>
      </c>
      <c r="I1295" s="28" t="str">
        <f aca="false">INDEX(Campaigns!$C$2:$C$31,MATCH(B1295,Campaigns!$A$2:$A$31,0))</f>
        <v>Google Search Ads</v>
      </c>
      <c r="J1295" s="40" t="n">
        <f aca="false">DATE(YEAR(A1295),MONTH(A1295),1)</f>
        <v>46266</v>
      </c>
    </row>
    <row r="1296" customFormat="false" ht="15" hidden="false" customHeight="false" outlineLevel="0" collapsed="false">
      <c r="A1296" s="34" t="n">
        <v>46289</v>
      </c>
      <c r="B1296" s="28" t="s">
        <v>139</v>
      </c>
      <c r="C1296" s="35" t="n">
        <v>17534</v>
      </c>
      <c r="D1296" s="35" t="n">
        <v>149</v>
      </c>
      <c r="E1296" s="35" t="n">
        <v>7</v>
      </c>
      <c r="F1296" s="35" t="n">
        <v>0</v>
      </c>
      <c r="G1296" s="35" t="n">
        <v>0</v>
      </c>
      <c r="H1296" s="35" t="n">
        <v>2913</v>
      </c>
      <c r="I1296" s="28" t="str">
        <f aca="false">INDEX(Campaigns!$C$2:$C$31,MATCH(B1296,Campaigns!$A$2:$A$31,0))</f>
        <v>TikTok Ads</v>
      </c>
      <c r="J1296" s="40" t="n">
        <f aca="false">DATE(YEAR(A1296),MONTH(A1296),1)</f>
        <v>46266</v>
      </c>
    </row>
    <row r="1297" customFormat="false" ht="15" hidden="false" customHeight="false" outlineLevel="0" collapsed="false">
      <c r="A1297" s="34" t="n">
        <v>46289</v>
      </c>
      <c r="B1297" s="28" t="s">
        <v>147</v>
      </c>
      <c r="C1297" s="35" t="n">
        <v>26853</v>
      </c>
      <c r="D1297" s="35" t="n">
        <v>352</v>
      </c>
      <c r="E1297" s="35" t="n">
        <v>6</v>
      </c>
      <c r="F1297" s="35" t="n">
        <v>1</v>
      </c>
      <c r="G1297" s="35" t="n">
        <v>2970</v>
      </c>
      <c r="H1297" s="35" t="n">
        <v>6887</v>
      </c>
      <c r="I1297" s="28" t="str">
        <f aca="false">INDEX(Campaigns!$C$2:$C$31,MATCH(B1297,Campaigns!$A$2:$A$31,0))</f>
        <v>Facebook &amp; Instagram Ads</v>
      </c>
      <c r="J1297" s="40" t="n">
        <f aca="false">DATE(YEAR(A1297),MONTH(A1297),1)</f>
        <v>46266</v>
      </c>
    </row>
    <row r="1298" customFormat="false" ht="15" hidden="false" customHeight="false" outlineLevel="0" collapsed="false">
      <c r="A1298" s="34" t="n">
        <v>46289</v>
      </c>
      <c r="B1298" s="28" t="s">
        <v>158</v>
      </c>
      <c r="C1298" s="35" t="n">
        <v>16957</v>
      </c>
      <c r="D1298" s="35" t="n">
        <v>184</v>
      </c>
      <c r="E1298" s="35" t="n">
        <v>26</v>
      </c>
      <c r="F1298" s="35" t="n">
        <v>4</v>
      </c>
      <c r="G1298" s="35" t="n">
        <v>15870</v>
      </c>
      <c r="H1298" s="35" t="n">
        <v>10027</v>
      </c>
      <c r="I1298" s="28" t="str">
        <f aca="false">INDEX(Campaigns!$C$2:$C$31,MATCH(B1298,Campaigns!$A$2:$A$31,0))</f>
        <v>Influencer Partnerships</v>
      </c>
      <c r="J1298" s="40" t="n">
        <f aca="false">DATE(YEAR(A1298),MONTH(A1298),1)</f>
        <v>46266</v>
      </c>
    </row>
    <row r="1299" customFormat="false" ht="15" hidden="false" customHeight="false" outlineLevel="0" collapsed="false">
      <c r="A1299" s="34" t="n">
        <v>46290</v>
      </c>
      <c r="B1299" s="28" t="s">
        <v>118</v>
      </c>
      <c r="C1299" s="35" t="n">
        <v>3085</v>
      </c>
      <c r="D1299" s="35" t="n">
        <v>160</v>
      </c>
      <c r="E1299" s="35" t="n">
        <v>5</v>
      </c>
      <c r="F1299" s="35" t="n">
        <v>9</v>
      </c>
      <c r="G1299" s="35" t="n">
        <v>31520</v>
      </c>
      <c r="H1299" s="35" t="n">
        <v>2994</v>
      </c>
      <c r="I1299" s="28" t="str">
        <f aca="false">INDEX(Campaigns!$C$2:$C$31,MATCH(B1299,Campaigns!$A$2:$A$31,0))</f>
        <v>Google Search Ads</v>
      </c>
      <c r="J1299" s="40" t="n">
        <f aca="false">DATE(YEAR(A1299),MONTH(A1299),1)</f>
        <v>46266</v>
      </c>
    </row>
    <row r="1300" customFormat="false" ht="15" hidden="false" customHeight="false" outlineLevel="0" collapsed="false">
      <c r="A1300" s="34" t="n">
        <v>46290</v>
      </c>
      <c r="B1300" s="28" t="s">
        <v>152</v>
      </c>
      <c r="C1300" s="35" t="n">
        <v>7385</v>
      </c>
      <c r="D1300" s="35" t="n">
        <v>70</v>
      </c>
      <c r="E1300" s="35" t="n">
        <v>3</v>
      </c>
      <c r="F1300" s="35" t="n">
        <v>1</v>
      </c>
      <c r="G1300" s="35" t="n">
        <v>2750</v>
      </c>
      <c r="H1300" s="35" t="n">
        <v>4776</v>
      </c>
      <c r="I1300" s="28" t="str">
        <f aca="false">INDEX(Campaigns!$C$2:$C$31,MATCH(B1300,Campaigns!$A$2:$A$31,0))</f>
        <v>Influencer Partnerships</v>
      </c>
      <c r="J1300" s="40" t="n">
        <f aca="false">DATE(YEAR(A1300),MONTH(A1300),1)</f>
        <v>46266</v>
      </c>
    </row>
    <row r="1301" customFormat="false" ht="15" hidden="false" customHeight="false" outlineLevel="0" collapsed="false">
      <c r="A1301" s="34" t="n">
        <v>46290</v>
      </c>
      <c r="B1301" s="28" t="s">
        <v>158</v>
      </c>
      <c r="C1301" s="35" t="n">
        <v>18363</v>
      </c>
      <c r="D1301" s="35" t="n">
        <v>171</v>
      </c>
      <c r="E1301" s="35" t="n">
        <v>24</v>
      </c>
      <c r="F1301" s="35" t="n">
        <v>5</v>
      </c>
      <c r="G1301" s="35" t="n">
        <v>21440</v>
      </c>
      <c r="H1301" s="35" t="n">
        <v>10408</v>
      </c>
      <c r="I1301" s="28" t="str">
        <f aca="false">INDEX(Campaigns!$C$2:$C$31,MATCH(B1301,Campaigns!$A$2:$A$31,0))</f>
        <v>Influencer Partnerships</v>
      </c>
      <c r="J1301" s="40" t="n">
        <f aca="false">DATE(YEAR(A1301),MONTH(A1301),1)</f>
        <v>46266</v>
      </c>
    </row>
    <row r="1302" customFormat="false" ht="15" hidden="false" customHeight="false" outlineLevel="0" collapsed="false">
      <c r="A1302" s="34" t="n">
        <v>46291</v>
      </c>
      <c r="B1302" s="28" t="s">
        <v>118</v>
      </c>
      <c r="C1302" s="35" t="n">
        <v>2841</v>
      </c>
      <c r="D1302" s="35" t="n">
        <v>163</v>
      </c>
      <c r="E1302" s="35" t="n">
        <v>6</v>
      </c>
      <c r="F1302" s="35" t="n">
        <v>6</v>
      </c>
      <c r="G1302" s="35" t="n">
        <v>25680</v>
      </c>
      <c r="H1302" s="35" t="n">
        <v>2439</v>
      </c>
      <c r="I1302" s="28" t="str">
        <f aca="false">INDEX(Campaigns!$C$2:$C$31,MATCH(B1302,Campaigns!$A$2:$A$31,0))</f>
        <v>Google Search Ads</v>
      </c>
      <c r="J1302" s="40" t="n">
        <f aca="false">DATE(YEAR(A1302),MONTH(A1302),1)</f>
        <v>46266</v>
      </c>
    </row>
    <row r="1303" customFormat="false" ht="15" hidden="false" customHeight="false" outlineLevel="0" collapsed="false">
      <c r="A1303" s="34" t="n">
        <v>46291</v>
      </c>
      <c r="B1303" s="28" t="s">
        <v>152</v>
      </c>
      <c r="C1303" s="35" t="n">
        <v>8445</v>
      </c>
      <c r="D1303" s="35" t="n">
        <v>71</v>
      </c>
      <c r="E1303" s="35" t="n">
        <v>5</v>
      </c>
      <c r="F1303" s="35" t="n">
        <v>3</v>
      </c>
      <c r="G1303" s="35" t="n">
        <v>9150</v>
      </c>
      <c r="H1303" s="35" t="n">
        <v>4648</v>
      </c>
      <c r="I1303" s="28" t="str">
        <f aca="false">INDEX(Campaigns!$C$2:$C$31,MATCH(B1303,Campaigns!$A$2:$A$31,0))</f>
        <v>Influencer Partnerships</v>
      </c>
      <c r="J1303" s="40" t="n">
        <f aca="false">DATE(YEAR(A1303),MONTH(A1303),1)</f>
        <v>46266</v>
      </c>
    </row>
    <row r="1304" customFormat="false" ht="15" hidden="false" customHeight="false" outlineLevel="0" collapsed="false">
      <c r="A1304" s="34" t="n">
        <v>46291</v>
      </c>
      <c r="B1304" s="28" t="s">
        <v>158</v>
      </c>
      <c r="C1304" s="35" t="n">
        <v>17415</v>
      </c>
      <c r="D1304" s="35" t="n">
        <v>189</v>
      </c>
      <c r="E1304" s="35" t="n">
        <v>26</v>
      </c>
      <c r="F1304" s="35" t="n">
        <v>7</v>
      </c>
      <c r="G1304" s="35" t="n">
        <v>25790</v>
      </c>
      <c r="H1304" s="35" t="n">
        <v>10268</v>
      </c>
      <c r="I1304" s="28" t="str">
        <f aca="false">INDEX(Campaigns!$C$2:$C$31,MATCH(B1304,Campaigns!$A$2:$A$31,0))</f>
        <v>Influencer Partnerships</v>
      </c>
      <c r="J1304" s="40" t="n">
        <f aca="false">DATE(YEAR(A1304),MONTH(A1304),1)</f>
        <v>46266</v>
      </c>
    </row>
    <row r="1305" customFormat="false" ht="15" hidden="false" customHeight="false" outlineLevel="0" collapsed="false">
      <c r="A1305" s="34" t="n">
        <v>46292</v>
      </c>
      <c r="B1305" s="28" t="s">
        <v>118</v>
      </c>
      <c r="C1305" s="35" t="n">
        <v>3034</v>
      </c>
      <c r="D1305" s="35" t="n">
        <v>148</v>
      </c>
      <c r="E1305" s="35" t="n">
        <v>9</v>
      </c>
      <c r="F1305" s="35" t="n">
        <v>11</v>
      </c>
      <c r="G1305" s="35" t="n">
        <v>38870</v>
      </c>
      <c r="H1305" s="35" t="n">
        <v>2816</v>
      </c>
      <c r="I1305" s="28" t="str">
        <f aca="false">INDEX(Campaigns!$C$2:$C$31,MATCH(B1305,Campaigns!$A$2:$A$31,0))</f>
        <v>Google Search Ads</v>
      </c>
      <c r="J1305" s="40" t="n">
        <f aca="false">DATE(YEAR(A1305),MONTH(A1305),1)</f>
        <v>46266</v>
      </c>
    </row>
    <row r="1306" customFormat="false" ht="15" hidden="false" customHeight="false" outlineLevel="0" collapsed="false">
      <c r="A1306" s="34" t="n">
        <v>46292</v>
      </c>
      <c r="B1306" s="28" t="s">
        <v>158</v>
      </c>
      <c r="C1306" s="35" t="n">
        <v>18323</v>
      </c>
      <c r="D1306" s="35" t="n">
        <v>178</v>
      </c>
      <c r="E1306" s="35" t="n">
        <v>22</v>
      </c>
      <c r="F1306" s="35" t="n">
        <v>1</v>
      </c>
      <c r="G1306" s="35" t="n">
        <v>3340</v>
      </c>
      <c r="H1306" s="35" t="n">
        <v>11456</v>
      </c>
      <c r="I1306" s="28" t="str">
        <f aca="false">INDEX(Campaigns!$C$2:$C$31,MATCH(B1306,Campaigns!$A$2:$A$31,0))</f>
        <v>Influencer Partnerships</v>
      </c>
      <c r="J1306" s="40" t="n">
        <f aca="false">DATE(YEAR(A1306),MONTH(A1306),1)</f>
        <v>46266</v>
      </c>
    </row>
    <row r="1307" customFormat="false" ht="15" hidden="false" customHeight="false" outlineLevel="0" collapsed="false">
      <c r="A1307" s="34" t="n">
        <v>46293</v>
      </c>
      <c r="B1307" s="28" t="s">
        <v>118</v>
      </c>
      <c r="C1307" s="35" t="n">
        <v>3049</v>
      </c>
      <c r="D1307" s="35" t="n">
        <v>147</v>
      </c>
      <c r="E1307" s="35" t="n">
        <v>5</v>
      </c>
      <c r="F1307" s="35" t="n">
        <v>7</v>
      </c>
      <c r="G1307" s="35" t="n">
        <v>29290</v>
      </c>
      <c r="H1307" s="35" t="n">
        <v>2788</v>
      </c>
      <c r="I1307" s="28" t="str">
        <f aca="false">INDEX(Campaigns!$C$2:$C$31,MATCH(B1307,Campaigns!$A$2:$A$31,0))</f>
        <v>Google Search Ads</v>
      </c>
      <c r="J1307" s="40" t="n">
        <f aca="false">DATE(YEAR(A1307),MONTH(A1307),1)</f>
        <v>46266</v>
      </c>
    </row>
    <row r="1308" customFormat="false" ht="15" hidden="false" customHeight="false" outlineLevel="0" collapsed="false">
      <c r="A1308" s="34" t="n">
        <v>46294</v>
      </c>
      <c r="B1308" s="28" t="s">
        <v>118</v>
      </c>
      <c r="C1308" s="35" t="n">
        <v>2709</v>
      </c>
      <c r="D1308" s="35" t="n">
        <v>171</v>
      </c>
      <c r="E1308" s="35" t="n">
        <v>6</v>
      </c>
      <c r="F1308" s="35" t="n">
        <v>10</v>
      </c>
      <c r="G1308" s="35" t="n">
        <v>42160</v>
      </c>
      <c r="H1308" s="35" t="n">
        <v>2311</v>
      </c>
      <c r="I1308" s="28" t="str">
        <f aca="false">INDEX(Campaigns!$C$2:$C$31,MATCH(B1308,Campaigns!$A$2:$A$31,0))</f>
        <v>Google Search Ads</v>
      </c>
      <c r="J1308" s="40" t="n">
        <f aca="false">DATE(YEAR(A1308),MONTH(A1308),1)</f>
        <v>46266</v>
      </c>
    </row>
    <row r="1309" customFormat="false" ht="15" hidden="false" customHeight="false" outlineLevel="0" collapsed="false">
      <c r="A1309" s="34" t="n">
        <v>46294</v>
      </c>
      <c r="B1309" s="28" t="s">
        <v>152</v>
      </c>
      <c r="C1309" s="35" t="n">
        <v>6816</v>
      </c>
      <c r="D1309" s="35" t="n">
        <v>58</v>
      </c>
      <c r="E1309" s="35" t="n">
        <v>1</v>
      </c>
      <c r="F1309" s="35" t="n">
        <v>1</v>
      </c>
      <c r="G1309" s="35" t="n">
        <v>4860</v>
      </c>
      <c r="H1309" s="35" t="n">
        <v>4385</v>
      </c>
      <c r="I1309" s="28" t="str">
        <f aca="false">INDEX(Campaigns!$C$2:$C$31,MATCH(B1309,Campaigns!$A$2:$A$31,0))</f>
        <v>Influencer Partnerships</v>
      </c>
      <c r="J1309" s="40" t="n">
        <f aca="false">DATE(YEAR(A1309),MONTH(A1309),1)</f>
        <v>46266</v>
      </c>
    </row>
    <row r="1310" customFormat="false" ht="15" hidden="false" customHeight="false" outlineLevel="0" collapsed="false">
      <c r="A1310" s="34" t="n">
        <v>46295</v>
      </c>
      <c r="B1310" s="28" t="s">
        <v>118</v>
      </c>
      <c r="C1310" s="35" t="n">
        <v>3075</v>
      </c>
      <c r="D1310" s="35" t="n">
        <v>162</v>
      </c>
      <c r="E1310" s="35" t="n">
        <v>6</v>
      </c>
      <c r="F1310" s="35" t="n">
        <v>11</v>
      </c>
      <c r="G1310" s="35" t="n">
        <v>40780</v>
      </c>
      <c r="H1310" s="35" t="n">
        <v>2563</v>
      </c>
      <c r="I1310" s="28" t="str">
        <f aca="false">INDEX(Campaigns!$C$2:$C$31,MATCH(B1310,Campaigns!$A$2:$A$31,0))</f>
        <v>Google Search Ads</v>
      </c>
      <c r="J1310" s="40" t="n">
        <f aca="false">DATE(YEAR(A1310),MONTH(A1310),1)</f>
        <v>46266</v>
      </c>
    </row>
    <row r="1311" customFormat="false" ht="15" hidden="false" customHeight="false" outlineLevel="0" collapsed="false">
      <c r="A1311" s="34" t="n">
        <v>46295</v>
      </c>
      <c r="B1311" s="28" t="s">
        <v>152</v>
      </c>
      <c r="C1311" s="35" t="n">
        <v>7794</v>
      </c>
      <c r="D1311" s="35" t="n">
        <v>56</v>
      </c>
      <c r="E1311" s="35" t="n">
        <v>3</v>
      </c>
      <c r="F1311" s="35" t="n">
        <v>0</v>
      </c>
      <c r="G1311" s="35" t="n">
        <v>0</v>
      </c>
      <c r="H1311" s="35" t="n">
        <v>4311</v>
      </c>
      <c r="I1311" s="28" t="str">
        <f aca="false">INDEX(Campaigns!$C$2:$C$31,MATCH(B1311,Campaigns!$A$2:$A$31,0))</f>
        <v>Influencer Partnerships</v>
      </c>
      <c r="J1311" s="40" t="n">
        <f aca="false">DATE(YEAR(A1311),MONTH(A1311),1)</f>
        <v>46266</v>
      </c>
    </row>
  </sheetData>
  <autoFilter ref="A1:J13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2026-10-01T10:39:27Z</dcterms:created>
  <dc:creator>openpyxl</dc:creator>
  <dc:description/>
  <dc:language>en-US</dc:language>
  <cp:lastModifiedBy/>
  <dcterms:modified xsi:type="dcterms:W3CDTF">2026-10-01T10:39:29Z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